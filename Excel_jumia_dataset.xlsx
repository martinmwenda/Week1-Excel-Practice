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hidePivotFieldList="1"/>
  <mc:AlternateContent xmlns:mc="http://schemas.openxmlformats.org/markup-compatibility/2006">
    <mc:Choice Requires="x15">
      <x15ac:absPath xmlns:x15ac="http://schemas.microsoft.com/office/spreadsheetml/2010/11/ac" url="/Users/mac/Desktop/LuxDevHQ/Assignment 1/untitled folder/"/>
    </mc:Choice>
  </mc:AlternateContent>
  <xr:revisionPtr revIDLastSave="0" documentId="13_ncr:1_{0BBF8831-E4FB-6241-AB04-FAC81C75DB7D}" xr6:coauthVersionLast="37" xr6:coauthVersionMax="37" xr10:uidLastSave="{00000000-0000-0000-0000-000000000000}"/>
  <bookViews>
    <workbookView xWindow="3220" yWindow="560" windowWidth="29440" windowHeight="18340" xr2:uid="{00000000-000D-0000-FFFF-FFFF00000000}"/>
  </bookViews>
  <sheets>
    <sheet name="Pivot table" sheetId="3" r:id="rId1"/>
    <sheet name="Excel_jumia_ - Product Perfoma" sheetId="4" r:id="rId2"/>
    <sheet name="Excel_jumia_dataset - Martin" sheetId="2" r:id="rId3"/>
    <sheet name="Excel_jumia_dataset" sheetId="1" r:id="rId4"/>
  </sheets>
  <definedNames>
    <definedName name="Slicer_Category">#N/A</definedName>
    <definedName name="Slicer_Category___Discount">#N/A</definedName>
  </definedNames>
  <calcPr calcId="179021"/>
  <pivotCaches>
    <pivotCache cacheId="0" r:id="rId5"/>
    <pivotCache cacheId="1" r:id="rId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5:slicerCaches>
    </ext>
  </extLst>
</workbook>
</file>

<file path=xl/calcChain.xml><?xml version="1.0" encoding="utf-8"?>
<calcChain xmlns="http://schemas.openxmlformats.org/spreadsheetml/2006/main">
  <c r="P2" i="4" l="1"/>
  <c r="Q2" i="4"/>
  <c r="P3" i="4"/>
  <c r="Q3" i="4"/>
  <c r="P4" i="4"/>
  <c r="Q4" i="4"/>
  <c r="P5" i="4"/>
  <c r="Q5" i="4"/>
  <c r="P6" i="4"/>
  <c r="Q6" i="4"/>
  <c r="P7" i="4"/>
  <c r="Q7" i="4"/>
  <c r="P8" i="4"/>
  <c r="Q8" i="4"/>
  <c r="P9" i="4"/>
  <c r="Q9" i="4"/>
  <c r="P10" i="4"/>
  <c r="Q10" i="4"/>
  <c r="P11" i="4"/>
  <c r="Q11" i="4"/>
  <c r="P12" i="4"/>
  <c r="Q12" i="4"/>
  <c r="P13" i="4"/>
  <c r="Q13" i="4"/>
  <c r="P14" i="4"/>
  <c r="Q14" i="4"/>
  <c r="P15" i="4"/>
  <c r="Q15" i="4"/>
  <c r="P16" i="4"/>
  <c r="Q16" i="4"/>
  <c r="P17" i="4"/>
  <c r="Q17" i="4"/>
  <c r="P18" i="4"/>
  <c r="Q18" i="4"/>
  <c r="P19" i="4"/>
  <c r="Q19" i="4"/>
  <c r="P20" i="4"/>
  <c r="Q20" i="4"/>
  <c r="P21" i="4"/>
  <c r="Q21" i="4"/>
  <c r="P22" i="4"/>
  <c r="Q22" i="4"/>
  <c r="P23" i="4"/>
  <c r="Q23" i="4"/>
  <c r="P24" i="4"/>
  <c r="Q24" i="4"/>
  <c r="P25" i="4"/>
  <c r="Q25" i="4"/>
  <c r="P26" i="4"/>
  <c r="Q26" i="4"/>
  <c r="P27" i="4"/>
  <c r="Q27" i="4"/>
  <c r="P28" i="4"/>
  <c r="Q28" i="4"/>
  <c r="P29" i="4"/>
  <c r="Q29" i="4"/>
  <c r="P30" i="4"/>
  <c r="Q30" i="4"/>
  <c r="P31" i="4"/>
  <c r="Q31" i="4"/>
  <c r="P32" i="4"/>
  <c r="Q32" i="4"/>
  <c r="P33" i="4"/>
  <c r="Q33" i="4"/>
  <c r="P34" i="4"/>
  <c r="Q34" i="4"/>
  <c r="P35" i="4"/>
  <c r="Q35" i="4"/>
  <c r="P36" i="4"/>
  <c r="Q36" i="4"/>
  <c r="P37" i="4"/>
  <c r="Q37" i="4"/>
  <c r="P38" i="4"/>
  <c r="Q38" i="4"/>
  <c r="P39" i="4"/>
  <c r="Q39" i="4"/>
  <c r="P40" i="4"/>
  <c r="Q40" i="4"/>
  <c r="P41" i="4"/>
  <c r="Q41" i="4"/>
  <c r="P42" i="4"/>
  <c r="Q42" i="4"/>
  <c r="P43" i="4"/>
  <c r="Q43" i="4"/>
  <c r="P44" i="4"/>
  <c r="Q44" i="4"/>
  <c r="P45" i="4"/>
  <c r="Q45" i="4"/>
  <c r="P46" i="4"/>
  <c r="Q46" i="4"/>
  <c r="N47" i="4"/>
  <c r="P47" i="4"/>
  <c r="Q47" i="4"/>
  <c r="P48" i="4"/>
  <c r="Q48" i="4"/>
  <c r="P49" i="4"/>
  <c r="Q49" i="4"/>
  <c r="P50" i="4"/>
  <c r="Q50" i="4"/>
  <c r="P51" i="4"/>
  <c r="Q51" i="4"/>
  <c r="P52" i="4"/>
  <c r="Q52" i="4"/>
  <c r="P53" i="4"/>
  <c r="Q53" i="4"/>
  <c r="P54" i="4"/>
  <c r="Q54" i="4"/>
  <c r="P55" i="4"/>
  <c r="Q55" i="4"/>
  <c r="P56" i="4"/>
  <c r="Q56" i="4"/>
  <c r="P57" i="4"/>
  <c r="Q57" i="4"/>
  <c r="P58" i="4"/>
  <c r="Q58" i="4"/>
  <c r="P59" i="4"/>
  <c r="Q59" i="4"/>
  <c r="P60" i="4"/>
  <c r="Q60" i="4"/>
  <c r="P61" i="4"/>
  <c r="Q61" i="4"/>
  <c r="P62" i="4"/>
  <c r="Q62" i="4"/>
  <c r="P63" i="4"/>
  <c r="Q63" i="4"/>
  <c r="P64" i="4"/>
  <c r="Q64" i="4"/>
  <c r="P65" i="4"/>
  <c r="Q65" i="4"/>
  <c r="P66" i="4"/>
  <c r="Q66" i="4"/>
  <c r="P67" i="4"/>
  <c r="Q67" i="4"/>
  <c r="P68" i="4"/>
  <c r="Q68" i="4"/>
  <c r="P69" i="4"/>
  <c r="Q69" i="4"/>
  <c r="P70" i="4"/>
  <c r="Q70" i="4"/>
  <c r="P71" i="4"/>
  <c r="Q71" i="4"/>
  <c r="P72" i="4"/>
  <c r="Q72" i="4"/>
  <c r="P73" i="4"/>
  <c r="Q73" i="4"/>
  <c r="P74" i="4"/>
  <c r="Q74" i="4"/>
  <c r="P75" i="4"/>
  <c r="Q75" i="4"/>
  <c r="P76" i="4"/>
  <c r="Q76" i="4"/>
  <c r="P77" i="4"/>
  <c r="Q77" i="4"/>
  <c r="P78" i="4"/>
  <c r="Q78" i="4"/>
  <c r="P79" i="4"/>
  <c r="Q79" i="4"/>
  <c r="P80" i="4"/>
  <c r="Q80" i="4"/>
  <c r="P81" i="4"/>
  <c r="Q81" i="4"/>
  <c r="P82" i="4"/>
  <c r="Q82" i="4"/>
  <c r="P83" i="4"/>
  <c r="Q83" i="4"/>
  <c r="P84" i="4"/>
  <c r="Q84" i="4"/>
  <c r="P85" i="4"/>
  <c r="Q85" i="4"/>
  <c r="P86" i="4"/>
  <c r="Q86" i="4"/>
  <c r="P87" i="4"/>
  <c r="Q87" i="4"/>
  <c r="P88" i="4"/>
  <c r="Q88" i="4"/>
  <c r="P89" i="4"/>
  <c r="Q89" i="4"/>
  <c r="P90" i="4"/>
  <c r="Q90" i="4"/>
  <c r="P91" i="4"/>
  <c r="Q91" i="4"/>
  <c r="P92" i="4"/>
  <c r="Q92" i="4"/>
  <c r="P93" i="4"/>
  <c r="Q93" i="4"/>
  <c r="P94" i="4"/>
  <c r="Q94" i="4"/>
  <c r="P95" i="4"/>
  <c r="Q95" i="4"/>
  <c r="P96" i="4"/>
  <c r="Q96" i="4"/>
  <c r="P97" i="4"/>
  <c r="Q97" i="4"/>
  <c r="P98" i="4"/>
  <c r="Q98" i="4"/>
  <c r="P99" i="4"/>
  <c r="Q99" i="4"/>
  <c r="P100" i="4"/>
  <c r="Q100" i="4"/>
  <c r="P101" i="4"/>
  <c r="Q101" i="4"/>
  <c r="P102" i="4"/>
  <c r="Q102" i="4"/>
  <c r="P103" i="4"/>
  <c r="Q103" i="4"/>
  <c r="P104" i="4"/>
  <c r="Q104" i="4"/>
  <c r="P105" i="4"/>
  <c r="Q105" i="4"/>
  <c r="P106" i="4"/>
  <c r="Q106" i="4"/>
  <c r="P107" i="4"/>
  <c r="Q107" i="4"/>
  <c r="P108" i="4"/>
  <c r="Q108" i="4"/>
  <c r="P109" i="4"/>
  <c r="Q109" i="4"/>
  <c r="P110" i="4"/>
  <c r="Q110" i="4"/>
  <c r="P111" i="4"/>
  <c r="Q111" i="4"/>
  <c r="P112" i="4"/>
  <c r="Q112" i="4"/>
  <c r="P113" i="4"/>
  <c r="Q113" i="4"/>
  <c r="I3" i="4"/>
  <c r="I4" i="4"/>
  <c r="K4" i="4" s="1"/>
  <c r="I5" i="4"/>
  <c r="I6" i="4"/>
  <c r="K6" i="4" s="1"/>
  <c r="I7" i="4"/>
  <c r="K7" i="4" s="1"/>
  <c r="I8" i="4"/>
  <c r="K8" i="4" s="1"/>
  <c r="I9" i="4"/>
  <c r="I10" i="4"/>
  <c r="K10" i="4" s="1"/>
  <c r="I11" i="4"/>
  <c r="K11" i="4" s="1"/>
  <c r="I12" i="4"/>
  <c r="K12" i="4" s="1"/>
  <c r="I13" i="4"/>
  <c r="K13" i="4" s="1"/>
  <c r="L95" i="4"/>
  <c r="J95" i="4"/>
  <c r="I95" i="4"/>
  <c r="K95" i="4" s="1"/>
  <c r="L76" i="4"/>
  <c r="J76" i="4"/>
  <c r="I76" i="4"/>
  <c r="K76" i="4" s="1"/>
  <c r="L110" i="4"/>
  <c r="J110" i="4"/>
  <c r="I110" i="4"/>
  <c r="K110" i="4" s="1"/>
  <c r="L70" i="4"/>
  <c r="J70" i="4"/>
  <c r="I70" i="4"/>
  <c r="K70" i="4" s="1"/>
  <c r="L65" i="4"/>
  <c r="J65" i="4"/>
  <c r="I65" i="4"/>
  <c r="K65" i="4" s="1"/>
  <c r="L60" i="4"/>
  <c r="J60" i="4"/>
  <c r="I60" i="4"/>
  <c r="K60" i="4" s="1"/>
  <c r="L96" i="4"/>
  <c r="J96" i="4"/>
  <c r="I96" i="4"/>
  <c r="K96" i="4" s="1"/>
  <c r="L16" i="4"/>
  <c r="J16" i="4"/>
  <c r="I16" i="4"/>
  <c r="K16" i="4" s="1"/>
  <c r="L66" i="4"/>
  <c r="J66" i="4"/>
  <c r="I66" i="4"/>
  <c r="K66" i="4" s="1"/>
  <c r="L104" i="4"/>
  <c r="J104" i="4"/>
  <c r="I104" i="4"/>
  <c r="K104" i="4" s="1"/>
  <c r="L93" i="4"/>
  <c r="J93" i="4"/>
  <c r="I93" i="4"/>
  <c r="K93" i="4" s="1"/>
  <c r="L23" i="4"/>
  <c r="J23" i="4"/>
  <c r="I23" i="4"/>
  <c r="K23" i="4" s="1"/>
  <c r="L68" i="4"/>
  <c r="M68" i="4" s="1"/>
  <c r="J68" i="4"/>
  <c r="I68" i="4"/>
  <c r="K68" i="4" s="1"/>
  <c r="L62" i="4"/>
  <c r="J62" i="4"/>
  <c r="I62" i="4"/>
  <c r="K62" i="4" s="1"/>
  <c r="L33" i="4"/>
  <c r="J33" i="4"/>
  <c r="I33" i="4"/>
  <c r="K33" i="4" s="1"/>
  <c r="L50" i="4"/>
  <c r="J50" i="4"/>
  <c r="I50" i="4"/>
  <c r="K50" i="4" s="1"/>
  <c r="L107" i="4"/>
  <c r="M107" i="4" s="1"/>
  <c r="J107" i="4"/>
  <c r="I107" i="4"/>
  <c r="K107" i="4" s="1"/>
  <c r="L106" i="4"/>
  <c r="M106" i="4" s="1"/>
  <c r="J106" i="4"/>
  <c r="I106" i="4"/>
  <c r="K106" i="4" s="1"/>
  <c r="L35" i="4"/>
  <c r="J35" i="4"/>
  <c r="I35" i="4"/>
  <c r="K35" i="4" s="1"/>
  <c r="L19" i="4"/>
  <c r="J19" i="4"/>
  <c r="I19" i="4"/>
  <c r="K19" i="4" s="1"/>
  <c r="L64" i="4"/>
  <c r="M64" i="4" s="1"/>
  <c r="J64" i="4"/>
  <c r="I64" i="4"/>
  <c r="K64" i="4" s="1"/>
  <c r="L88" i="4"/>
  <c r="M88" i="4" s="1"/>
  <c r="J88" i="4"/>
  <c r="I88" i="4"/>
  <c r="K88" i="4" s="1"/>
  <c r="L42" i="4"/>
  <c r="J42" i="4"/>
  <c r="I42" i="4"/>
  <c r="K42" i="4" s="1"/>
  <c r="L46" i="4"/>
  <c r="M46" i="4" s="1"/>
  <c r="J46" i="4"/>
  <c r="I46" i="4"/>
  <c r="K46" i="4" s="1"/>
  <c r="L14" i="4"/>
  <c r="M14" i="4" s="1"/>
  <c r="J14" i="4"/>
  <c r="I14" i="4"/>
  <c r="K14" i="4" s="1"/>
  <c r="L34" i="4"/>
  <c r="M34" i="4" s="1"/>
  <c r="J34" i="4"/>
  <c r="I34" i="4"/>
  <c r="K34" i="4" s="1"/>
  <c r="L21" i="4"/>
  <c r="J21" i="4"/>
  <c r="I21" i="4"/>
  <c r="K21" i="4" s="1"/>
  <c r="L75" i="4"/>
  <c r="M75" i="4" s="1"/>
  <c r="J75" i="4"/>
  <c r="I75" i="4"/>
  <c r="K75" i="4" s="1"/>
  <c r="L36" i="4"/>
  <c r="M36" i="4" s="1"/>
  <c r="J36" i="4"/>
  <c r="I36" i="4"/>
  <c r="K36" i="4" s="1"/>
  <c r="L53" i="4"/>
  <c r="M53" i="4" s="1"/>
  <c r="J53" i="4"/>
  <c r="I53" i="4"/>
  <c r="K53" i="4" s="1"/>
  <c r="L78" i="4"/>
  <c r="J78" i="4"/>
  <c r="I78" i="4"/>
  <c r="K78" i="4" s="1"/>
  <c r="L103" i="4"/>
  <c r="M103" i="4" s="1"/>
  <c r="J103" i="4"/>
  <c r="I103" i="4"/>
  <c r="K103" i="4" s="1"/>
  <c r="L108" i="4"/>
  <c r="M108" i="4" s="1"/>
  <c r="J108" i="4"/>
  <c r="I108" i="4"/>
  <c r="K108" i="4" s="1"/>
  <c r="L25" i="4"/>
  <c r="M25" i="4" s="1"/>
  <c r="J25" i="4"/>
  <c r="I25" i="4"/>
  <c r="K25" i="4" s="1"/>
  <c r="L2" i="4"/>
  <c r="J2" i="4"/>
  <c r="I2" i="4"/>
  <c r="K2" i="4" s="1"/>
  <c r="L31" i="4"/>
  <c r="M31" i="4" s="1"/>
  <c r="J31" i="4"/>
  <c r="I31" i="4"/>
  <c r="K31" i="4" s="1"/>
  <c r="L55" i="4"/>
  <c r="M55" i="4" s="1"/>
  <c r="J55" i="4"/>
  <c r="I55" i="4"/>
  <c r="K55" i="4" s="1"/>
  <c r="L47" i="4"/>
  <c r="M47" i="4" s="1"/>
  <c r="J47" i="4"/>
  <c r="I47" i="4"/>
  <c r="K47" i="4" s="1"/>
  <c r="L43" i="4"/>
  <c r="M43" i="4" s="1"/>
  <c r="J43" i="4"/>
  <c r="I43" i="4"/>
  <c r="K43" i="4" s="1"/>
  <c r="L94" i="4"/>
  <c r="J94" i="4"/>
  <c r="I94" i="4"/>
  <c r="K94" i="4" s="1"/>
  <c r="L20" i="4"/>
  <c r="M20" i="4" s="1"/>
  <c r="J20" i="4"/>
  <c r="I20" i="4"/>
  <c r="K20" i="4" s="1"/>
  <c r="L26" i="4"/>
  <c r="M26" i="4" s="1"/>
  <c r="J26" i="4"/>
  <c r="I26" i="4"/>
  <c r="K26" i="4" s="1"/>
  <c r="L28" i="4"/>
  <c r="M28" i="4" s="1"/>
  <c r="J28" i="4"/>
  <c r="I28" i="4"/>
  <c r="K28" i="4" s="1"/>
  <c r="L32" i="4"/>
  <c r="O32" i="4" s="1"/>
  <c r="J32" i="4"/>
  <c r="I32" i="4"/>
  <c r="K32" i="4" s="1"/>
  <c r="L40" i="4"/>
  <c r="M40" i="4" s="1"/>
  <c r="J40" i="4"/>
  <c r="I40" i="4"/>
  <c r="K40" i="4" s="1"/>
  <c r="L39" i="4"/>
  <c r="J39" i="4"/>
  <c r="I39" i="4"/>
  <c r="K39" i="4" s="1"/>
  <c r="L45" i="4"/>
  <c r="M45" i="4" s="1"/>
  <c r="J45" i="4"/>
  <c r="I45" i="4"/>
  <c r="K45" i="4" s="1"/>
  <c r="L71" i="4"/>
  <c r="O71" i="4" s="1"/>
  <c r="J71" i="4"/>
  <c r="I71" i="4"/>
  <c r="K71" i="4" s="1"/>
  <c r="L109" i="4"/>
  <c r="M109" i="4" s="1"/>
  <c r="J109" i="4"/>
  <c r="I109" i="4"/>
  <c r="K109" i="4" s="1"/>
  <c r="L29" i="4"/>
  <c r="M29" i="4" s="1"/>
  <c r="J29" i="4"/>
  <c r="I29" i="4"/>
  <c r="K29" i="4" s="1"/>
  <c r="L22" i="4"/>
  <c r="M22" i="4" s="1"/>
  <c r="J22" i="4"/>
  <c r="I22" i="4"/>
  <c r="K22" i="4" s="1"/>
  <c r="L90" i="4"/>
  <c r="J90" i="4"/>
  <c r="I90" i="4"/>
  <c r="K90" i="4" s="1"/>
  <c r="L105" i="4"/>
  <c r="M105" i="4" s="1"/>
  <c r="J105" i="4"/>
  <c r="I105" i="4"/>
  <c r="K105" i="4" s="1"/>
  <c r="L51" i="4"/>
  <c r="J51" i="4"/>
  <c r="I51" i="4"/>
  <c r="K51" i="4" s="1"/>
  <c r="L89" i="4"/>
  <c r="M89" i="4" s="1"/>
  <c r="J89" i="4"/>
  <c r="I89" i="4"/>
  <c r="K89" i="4" s="1"/>
  <c r="L67" i="4"/>
  <c r="O67" i="4" s="1"/>
  <c r="J67" i="4"/>
  <c r="I67" i="4"/>
  <c r="K67" i="4" s="1"/>
  <c r="L102" i="4"/>
  <c r="J102" i="4"/>
  <c r="I102" i="4"/>
  <c r="K102" i="4" s="1"/>
  <c r="L74" i="4"/>
  <c r="M74" i="4" s="1"/>
  <c r="J74" i="4"/>
  <c r="I74" i="4"/>
  <c r="K74" i="4" s="1"/>
  <c r="L113" i="4"/>
  <c r="M113" i="4" s="1"/>
  <c r="J113" i="4"/>
  <c r="I113" i="4"/>
  <c r="K113" i="4" s="1"/>
  <c r="L5" i="4"/>
  <c r="M5" i="4" s="1"/>
  <c r="J5" i="4"/>
  <c r="K5" i="4"/>
  <c r="L8" i="4"/>
  <c r="M8" i="4" s="1"/>
  <c r="J8" i="4"/>
  <c r="L41" i="4"/>
  <c r="M41" i="4" s="1"/>
  <c r="J41" i="4"/>
  <c r="I41" i="4"/>
  <c r="K41" i="4" s="1"/>
  <c r="L38" i="4"/>
  <c r="M38" i="4" s="1"/>
  <c r="J38" i="4"/>
  <c r="I38" i="4"/>
  <c r="K38" i="4" s="1"/>
  <c r="L27" i="4"/>
  <c r="M27" i="4" s="1"/>
  <c r="J27" i="4"/>
  <c r="I27" i="4"/>
  <c r="K27" i="4" s="1"/>
  <c r="L3" i="4"/>
  <c r="M3" i="4" s="1"/>
  <c r="J3" i="4"/>
  <c r="K3" i="4"/>
  <c r="L54" i="4"/>
  <c r="J54" i="4"/>
  <c r="I54" i="4"/>
  <c r="K54" i="4" s="1"/>
  <c r="L57" i="4"/>
  <c r="M57" i="4" s="1"/>
  <c r="J57" i="4"/>
  <c r="I57" i="4"/>
  <c r="K57" i="4" s="1"/>
  <c r="L85" i="4"/>
  <c r="M85" i="4" s="1"/>
  <c r="J85" i="4"/>
  <c r="I85" i="4"/>
  <c r="K85" i="4" s="1"/>
  <c r="L12" i="4"/>
  <c r="J12" i="4"/>
  <c r="L82" i="4"/>
  <c r="J82" i="4"/>
  <c r="I82" i="4"/>
  <c r="K82" i="4" s="1"/>
  <c r="L9" i="4"/>
  <c r="M9" i="4" s="1"/>
  <c r="J9" i="4"/>
  <c r="K9" i="4"/>
  <c r="L13" i="4"/>
  <c r="M13" i="4" s="1"/>
  <c r="J13" i="4"/>
  <c r="L99" i="4"/>
  <c r="O99" i="4" s="1"/>
  <c r="J99" i="4"/>
  <c r="I99" i="4"/>
  <c r="K99" i="4" s="1"/>
  <c r="L73" i="4"/>
  <c r="J73" i="4"/>
  <c r="I73" i="4"/>
  <c r="K73" i="4" s="1"/>
  <c r="L77" i="4"/>
  <c r="M77" i="4" s="1"/>
  <c r="J77" i="4"/>
  <c r="I77" i="4"/>
  <c r="K77" i="4" s="1"/>
  <c r="L80" i="4"/>
  <c r="M80" i="4" s="1"/>
  <c r="J80" i="4"/>
  <c r="I80" i="4"/>
  <c r="K80" i="4" s="1"/>
  <c r="L98" i="4"/>
  <c r="M98" i="4" s="1"/>
  <c r="J98" i="4"/>
  <c r="I98" i="4"/>
  <c r="K98" i="4" s="1"/>
  <c r="L61" i="4"/>
  <c r="M61" i="4" s="1"/>
  <c r="J61" i="4"/>
  <c r="I61" i="4"/>
  <c r="K61" i="4" s="1"/>
  <c r="L17" i="4"/>
  <c r="M17" i="4" s="1"/>
  <c r="J17" i="4"/>
  <c r="I17" i="4"/>
  <c r="K17" i="4" s="1"/>
  <c r="L87" i="4"/>
  <c r="M87" i="4" s="1"/>
  <c r="J87" i="4"/>
  <c r="I87" i="4"/>
  <c r="K87" i="4" s="1"/>
  <c r="L15" i="4"/>
  <c r="O15" i="4" s="1"/>
  <c r="J15" i="4"/>
  <c r="I15" i="4"/>
  <c r="K15" i="4" s="1"/>
  <c r="L83" i="4"/>
  <c r="J83" i="4"/>
  <c r="I83" i="4"/>
  <c r="K83" i="4" s="1"/>
  <c r="L18" i="4"/>
  <c r="M18" i="4" s="1"/>
  <c r="J18" i="4"/>
  <c r="I18" i="4"/>
  <c r="K18" i="4" s="1"/>
  <c r="L86" i="4"/>
  <c r="M86" i="4" s="1"/>
  <c r="J86" i="4"/>
  <c r="I86" i="4"/>
  <c r="K86" i="4" s="1"/>
  <c r="L6" i="4"/>
  <c r="O6" i="4" s="1"/>
  <c r="J6" i="4"/>
  <c r="L44" i="4"/>
  <c r="J44" i="4"/>
  <c r="I44" i="4"/>
  <c r="K44" i="4" s="1"/>
  <c r="L81" i="4"/>
  <c r="M81" i="4" s="1"/>
  <c r="J81" i="4"/>
  <c r="I81" i="4"/>
  <c r="K81" i="4" s="1"/>
  <c r="L11" i="4"/>
  <c r="M11" i="4" s="1"/>
  <c r="J11" i="4"/>
  <c r="L59" i="4"/>
  <c r="M59" i="4" s="1"/>
  <c r="J59" i="4"/>
  <c r="I59" i="4"/>
  <c r="K59" i="4" s="1"/>
  <c r="L72" i="4"/>
  <c r="M72" i="4" s="1"/>
  <c r="J72" i="4"/>
  <c r="I72" i="4"/>
  <c r="K72" i="4" s="1"/>
  <c r="L111" i="4"/>
  <c r="M111" i="4" s="1"/>
  <c r="J111" i="4"/>
  <c r="I111" i="4"/>
  <c r="K111" i="4" s="1"/>
  <c r="L30" i="4"/>
  <c r="M30" i="4" s="1"/>
  <c r="J30" i="4"/>
  <c r="I30" i="4"/>
  <c r="K30" i="4" s="1"/>
  <c r="L91" i="4"/>
  <c r="J91" i="4"/>
  <c r="I91" i="4"/>
  <c r="K91" i="4" s="1"/>
  <c r="L79" i="4"/>
  <c r="O79" i="4" s="1"/>
  <c r="J79" i="4"/>
  <c r="I79" i="4"/>
  <c r="K79" i="4" s="1"/>
  <c r="L63" i="4"/>
  <c r="M63" i="4" s="1"/>
  <c r="J63" i="4"/>
  <c r="I63" i="4"/>
  <c r="K63" i="4" s="1"/>
  <c r="L52" i="4"/>
  <c r="M52" i="4" s="1"/>
  <c r="J52" i="4"/>
  <c r="I52" i="4"/>
  <c r="K52" i="4" s="1"/>
  <c r="L10" i="4"/>
  <c r="J10" i="4"/>
  <c r="L24" i="4"/>
  <c r="M24" i="4" s="1"/>
  <c r="J24" i="4"/>
  <c r="I24" i="4"/>
  <c r="K24" i="4" s="1"/>
  <c r="L7" i="4"/>
  <c r="M7" i="4" s="1"/>
  <c r="J7" i="4"/>
  <c r="L101" i="4"/>
  <c r="M101" i="4" s="1"/>
  <c r="J101" i="4"/>
  <c r="I101" i="4"/>
  <c r="K101" i="4" s="1"/>
  <c r="L112" i="4"/>
  <c r="J112" i="4"/>
  <c r="I112" i="4"/>
  <c r="K112" i="4" s="1"/>
  <c r="L48" i="4"/>
  <c r="O48" i="4" s="1"/>
  <c r="J48" i="4"/>
  <c r="I48" i="4"/>
  <c r="K48" i="4" s="1"/>
  <c r="L92" i="4"/>
  <c r="M92" i="4" s="1"/>
  <c r="J92" i="4"/>
  <c r="I92" i="4"/>
  <c r="K92" i="4" s="1"/>
  <c r="L37" i="4"/>
  <c r="M37" i="4" s="1"/>
  <c r="J37" i="4"/>
  <c r="I37" i="4"/>
  <c r="K37" i="4" s="1"/>
  <c r="L100" i="4"/>
  <c r="J100" i="4"/>
  <c r="I100" i="4"/>
  <c r="K100" i="4" s="1"/>
  <c r="L4" i="4"/>
  <c r="O4" i="4" s="1"/>
  <c r="J4" i="4"/>
  <c r="L58" i="4"/>
  <c r="M58" i="4" s="1"/>
  <c r="J58" i="4"/>
  <c r="I58" i="4"/>
  <c r="K58" i="4" s="1"/>
  <c r="L97" i="4"/>
  <c r="M97" i="4" s="1"/>
  <c r="J97" i="4"/>
  <c r="I97" i="4"/>
  <c r="K97" i="4" s="1"/>
  <c r="L84" i="4"/>
  <c r="J84" i="4"/>
  <c r="I84" i="4"/>
  <c r="K84" i="4" s="1"/>
  <c r="L49" i="4"/>
  <c r="R49" i="4" s="1"/>
  <c r="J49" i="4"/>
  <c r="I49" i="4"/>
  <c r="K49" i="4" s="1"/>
  <c r="L69" i="4"/>
  <c r="M69" i="4" s="1"/>
  <c r="J69" i="4"/>
  <c r="I69" i="4"/>
  <c r="K69" i="4" s="1"/>
  <c r="L56" i="4"/>
  <c r="M56" i="4" s="1"/>
  <c r="J56" i="4"/>
  <c r="I56" i="4"/>
  <c r="K56" i="4" s="1"/>
  <c r="R86" i="2"/>
  <c r="R71" i="2"/>
  <c r="R67" i="2"/>
  <c r="R64" i="2"/>
  <c r="R89" i="2"/>
  <c r="R72" i="2"/>
  <c r="R90" i="2"/>
  <c r="R65" i="2"/>
  <c r="R93" i="2"/>
  <c r="R87" i="2"/>
  <c r="R68" i="2"/>
  <c r="R66" i="2"/>
  <c r="R77" i="2"/>
  <c r="R85" i="2"/>
  <c r="R57" i="2"/>
  <c r="R58" i="2"/>
  <c r="R59" i="2"/>
  <c r="R73" i="2"/>
  <c r="R74" i="2"/>
  <c r="R96" i="2"/>
  <c r="R2" i="2"/>
  <c r="R91" i="2"/>
  <c r="R80" i="2"/>
  <c r="R81" i="2"/>
  <c r="R75" i="2"/>
  <c r="R94" i="2"/>
  <c r="R95" i="2"/>
  <c r="R88" i="2"/>
  <c r="R3" i="2"/>
  <c r="R82" i="2"/>
  <c r="R69" i="2"/>
  <c r="R83" i="2"/>
  <c r="R70" i="2"/>
  <c r="R78" i="2"/>
  <c r="R60" i="2"/>
  <c r="R61" i="2"/>
  <c r="R84" i="2"/>
  <c r="R79" i="2"/>
  <c r="R4" i="2"/>
  <c r="R5" i="2"/>
  <c r="R6" i="2"/>
  <c r="R7" i="2"/>
  <c r="R8" i="2"/>
  <c r="R9" i="2"/>
  <c r="R10" i="2"/>
  <c r="R11" i="2"/>
  <c r="R12" i="2"/>
  <c r="R13" i="2"/>
  <c r="R14" i="2"/>
  <c r="R15" i="2"/>
  <c r="R16" i="2"/>
  <c r="R17" i="2"/>
  <c r="R18" i="2"/>
  <c r="R19" i="2"/>
  <c r="R20" i="2"/>
  <c r="R21" i="2"/>
  <c r="R22" i="2"/>
  <c r="R23" i="2"/>
  <c r="R106" i="2"/>
  <c r="R97" i="2"/>
  <c r="R111" i="2"/>
  <c r="R103" i="2"/>
  <c r="R104" i="2"/>
  <c r="R102" i="2"/>
  <c r="R109" i="2"/>
  <c r="R107" i="2"/>
  <c r="R98" i="2"/>
  <c r="R105" i="2"/>
  <c r="R99" i="2"/>
  <c r="R108" i="2"/>
  <c r="R100" i="2"/>
  <c r="R110" i="2"/>
  <c r="R112" i="2"/>
  <c r="R24" i="2"/>
  <c r="R25" i="2"/>
  <c r="R26" i="2"/>
  <c r="R27" i="2"/>
  <c r="R101" i="2"/>
  <c r="R62" i="2"/>
  <c r="R28" i="2"/>
  <c r="R29" i="2"/>
  <c r="R92" i="2"/>
  <c r="R30" i="2"/>
  <c r="R31" i="2"/>
  <c r="R32" i="2"/>
  <c r="R33" i="2"/>
  <c r="R34" i="2"/>
  <c r="R35" i="2"/>
  <c r="R36" i="2"/>
  <c r="R37" i="2"/>
  <c r="R38" i="2"/>
  <c r="R39" i="2"/>
  <c r="R40" i="2"/>
  <c r="R41" i="2"/>
  <c r="R42" i="2"/>
  <c r="R43" i="2"/>
  <c r="R44" i="2"/>
  <c r="R45" i="2"/>
  <c r="R46" i="2"/>
  <c r="R47" i="2"/>
  <c r="R63" i="2"/>
  <c r="R48" i="2"/>
  <c r="R49" i="2"/>
  <c r="R50" i="2"/>
  <c r="R51" i="2"/>
  <c r="R52" i="2"/>
  <c r="R53" i="2"/>
  <c r="R54" i="2"/>
  <c r="R55" i="2"/>
  <c r="R113" i="2"/>
  <c r="R56" i="2"/>
  <c r="R76" i="2"/>
  <c r="Q86" i="2"/>
  <c r="Q71" i="2"/>
  <c r="Q67" i="2"/>
  <c r="Q64" i="2"/>
  <c r="Q89" i="2"/>
  <c r="Q72" i="2"/>
  <c r="Q90" i="2"/>
  <c r="Q65" i="2"/>
  <c r="Q93" i="2"/>
  <c r="Q87" i="2"/>
  <c r="Q68" i="2"/>
  <c r="Q66" i="2"/>
  <c r="Q77" i="2"/>
  <c r="Q85" i="2"/>
  <c r="Q57" i="2"/>
  <c r="Q58" i="2"/>
  <c r="Q59" i="2"/>
  <c r="Q73" i="2"/>
  <c r="Q74" i="2"/>
  <c r="Q96" i="2"/>
  <c r="Q2" i="2"/>
  <c r="Q91" i="2"/>
  <c r="Q80" i="2"/>
  <c r="Q81" i="2"/>
  <c r="Q75" i="2"/>
  <c r="Q94" i="2"/>
  <c r="Q95" i="2"/>
  <c r="Q88" i="2"/>
  <c r="Q3" i="2"/>
  <c r="Q82" i="2"/>
  <c r="Q69" i="2"/>
  <c r="Q83" i="2"/>
  <c r="Q70" i="2"/>
  <c r="Q78" i="2"/>
  <c r="Q60" i="2"/>
  <c r="Q61" i="2"/>
  <c r="Q84" i="2"/>
  <c r="Q79" i="2"/>
  <c r="Q4" i="2"/>
  <c r="Q5" i="2"/>
  <c r="Q6" i="2"/>
  <c r="Q7" i="2"/>
  <c r="Q8" i="2"/>
  <c r="Q9" i="2"/>
  <c r="Q10" i="2"/>
  <c r="Q11" i="2"/>
  <c r="Q12" i="2"/>
  <c r="Q13" i="2"/>
  <c r="Q14" i="2"/>
  <c r="Q15" i="2"/>
  <c r="Q16" i="2"/>
  <c r="Q17" i="2"/>
  <c r="Q18" i="2"/>
  <c r="Q19" i="2"/>
  <c r="Q20" i="2"/>
  <c r="Q21" i="2"/>
  <c r="Q22" i="2"/>
  <c r="Q23" i="2"/>
  <c r="Q106" i="2"/>
  <c r="Q97" i="2"/>
  <c r="Q111" i="2"/>
  <c r="Q103" i="2"/>
  <c r="Q104" i="2"/>
  <c r="Q102" i="2"/>
  <c r="Q109" i="2"/>
  <c r="Q107" i="2"/>
  <c r="Q98" i="2"/>
  <c r="Q105" i="2"/>
  <c r="Q99" i="2"/>
  <c r="Q108" i="2"/>
  <c r="Q100" i="2"/>
  <c r="Q110" i="2"/>
  <c r="Q112" i="2"/>
  <c r="Q24" i="2"/>
  <c r="Q25" i="2"/>
  <c r="Q26" i="2"/>
  <c r="Q27" i="2"/>
  <c r="Q101" i="2"/>
  <c r="Q62" i="2"/>
  <c r="Q28" i="2"/>
  <c r="Q29" i="2"/>
  <c r="Q92" i="2"/>
  <c r="Q30" i="2"/>
  <c r="Q31" i="2"/>
  <c r="Q32" i="2"/>
  <c r="Q33" i="2"/>
  <c r="Q34" i="2"/>
  <c r="Q35" i="2"/>
  <c r="Q36" i="2"/>
  <c r="Q37" i="2"/>
  <c r="Q38" i="2"/>
  <c r="Q39" i="2"/>
  <c r="Q40" i="2"/>
  <c r="Q41" i="2"/>
  <c r="Q42" i="2"/>
  <c r="Q43" i="2"/>
  <c r="Q44" i="2"/>
  <c r="Q45" i="2"/>
  <c r="Q46" i="2"/>
  <c r="Q47" i="2"/>
  <c r="Q63" i="2"/>
  <c r="Q48" i="2"/>
  <c r="Q49" i="2"/>
  <c r="Q50" i="2"/>
  <c r="Q51" i="2"/>
  <c r="Q52" i="2"/>
  <c r="Q53" i="2"/>
  <c r="Q54" i="2"/>
  <c r="Q55" i="2"/>
  <c r="Q113" i="2"/>
  <c r="Q56" i="2"/>
  <c r="Q76" i="2"/>
  <c r="O90" i="4" l="1"/>
  <c r="O50" i="4"/>
  <c r="R91" i="4"/>
  <c r="O23" i="4"/>
  <c r="O10" i="4"/>
  <c r="R100" i="4"/>
  <c r="R112" i="4"/>
  <c r="O19" i="4"/>
  <c r="O16" i="4"/>
  <c r="O84" i="4"/>
  <c r="O2" i="4"/>
  <c r="O78" i="4"/>
  <c r="R16" i="4"/>
  <c r="R40" i="4"/>
  <c r="O35" i="4"/>
  <c r="R31" i="4"/>
  <c r="O93" i="4"/>
  <c r="O96" i="4"/>
  <c r="O110" i="4"/>
  <c r="O64" i="4"/>
  <c r="O58" i="4"/>
  <c r="O51" i="4"/>
  <c r="O39" i="4"/>
  <c r="O62" i="4"/>
  <c r="O104" i="4"/>
  <c r="O60" i="4"/>
  <c r="O54" i="4"/>
  <c r="R82" i="4"/>
  <c r="O83" i="4"/>
  <c r="R73" i="4"/>
  <c r="O102" i="4"/>
  <c r="O66" i="4"/>
  <c r="O65" i="4"/>
  <c r="R94" i="4"/>
  <c r="R79" i="4"/>
  <c r="O44" i="4"/>
  <c r="O12" i="4"/>
  <c r="O61" i="4"/>
  <c r="R37" i="4"/>
  <c r="R10" i="4"/>
  <c r="O109" i="4"/>
  <c r="O103" i="4"/>
  <c r="O97" i="4"/>
  <c r="O88" i="4"/>
  <c r="O82" i="4"/>
  <c r="O76" i="4"/>
  <c r="O70" i="4"/>
  <c r="O55" i="4"/>
  <c r="R111" i="4"/>
  <c r="R105" i="4"/>
  <c r="R99" i="4"/>
  <c r="R93" i="4"/>
  <c r="R84" i="4"/>
  <c r="R60" i="4"/>
  <c r="R54" i="4"/>
  <c r="R51" i="4"/>
  <c r="R48" i="4"/>
  <c r="R25" i="4"/>
  <c r="O112" i="4"/>
  <c r="O106" i="4"/>
  <c r="O100" i="4"/>
  <c r="O94" i="4"/>
  <c r="O91" i="4"/>
  <c r="O85" i="4"/>
  <c r="O73" i="4"/>
  <c r="O52" i="4"/>
  <c r="O49" i="4"/>
  <c r="R108" i="4"/>
  <c r="R102" i="4"/>
  <c r="R96" i="4"/>
  <c r="R90" i="4"/>
  <c r="R87" i="4"/>
  <c r="R81" i="4"/>
  <c r="R78" i="4"/>
  <c r="R75" i="4"/>
  <c r="R72" i="4"/>
  <c r="R69" i="4"/>
  <c r="R66" i="4"/>
  <c r="R63" i="4"/>
  <c r="R57" i="4"/>
  <c r="O46" i="4"/>
  <c r="O43" i="4"/>
  <c r="O40" i="4"/>
  <c r="O37" i="4"/>
  <c r="O34" i="4"/>
  <c r="O31" i="4"/>
  <c r="O28" i="4"/>
  <c r="O25" i="4"/>
  <c r="O22" i="4"/>
  <c r="O13" i="4"/>
  <c r="O7" i="4"/>
  <c r="R3" i="4"/>
  <c r="R46" i="4"/>
  <c r="R7" i="4"/>
  <c r="R33" i="4"/>
  <c r="R18" i="4"/>
  <c r="O111" i="4"/>
  <c r="O108" i="4"/>
  <c r="O105" i="4"/>
  <c r="O87" i="4"/>
  <c r="O81" i="4"/>
  <c r="O75" i="4"/>
  <c r="O72" i="4"/>
  <c r="O69" i="4"/>
  <c r="O63" i="4"/>
  <c r="O57" i="4"/>
  <c r="R21" i="4"/>
  <c r="R110" i="4"/>
  <c r="R104" i="4"/>
  <c r="R98" i="4"/>
  <c r="R89" i="4"/>
  <c r="R83" i="4"/>
  <c r="R77" i="4"/>
  <c r="R74" i="4"/>
  <c r="R68" i="4"/>
  <c r="R62" i="4"/>
  <c r="R53" i="4"/>
  <c r="R50" i="4"/>
  <c r="R47" i="4"/>
  <c r="R28" i="4"/>
  <c r="R19" i="4"/>
  <c r="R42" i="4"/>
  <c r="R24" i="4"/>
  <c r="R9" i="4"/>
  <c r="R113" i="4"/>
  <c r="R107" i="4"/>
  <c r="R101" i="4"/>
  <c r="R95" i="4"/>
  <c r="R92" i="4"/>
  <c r="R86" i="4"/>
  <c r="R80" i="4"/>
  <c r="R71" i="4"/>
  <c r="R65" i="4"/>
  <c r="R59" i="4"/>
  <c r="R56" i="4"/>
  <c r="O45" i="4"/>
  <c r="O42" i="4"/>
  <c r="O36" i="4"/>
  <c r="O33" i="4"/>
  <c r="O30" i="4"/>
  <c r="O27" i="4"/>
  <c r="O24" i="4"/>
  <c r="O21" i="4"/>
  <c r="O18" i="4"/>
  <c r="O9" i="4"/>
  <c r="O3" i="4"/>
  <c r="R34" i="4"/>
  <c r="R22" i="4"/>
  <c r="R36" i="4"/>
  <c r="R15" i="4"/>
  <c r="R44" i="4"/>
  <c r="R38" i="4"/>
  <c r="R32" i="4"/>
  <c r="R26" i="4"/>
  <c r="R23" i="4"/>
  <c r="R17" i="4"/>
  <c r="R14" i="4"/>
  <c r="R11" i="4"/>
  <c r="R8" i="4"/>
  <c r="R5" i="4"/>
  <c r="R2" i="4"/>
  <c r="R43" i="4"/>
  <c r="R4" i="4"/>
  <c r="R45" i="4"/>
  <c r="R30" i="4"/>
  <c r="R6" i="4"/>
  <c r="R41" i="4"/>
  <c r="R35" i="4"/>
  <c r="R29" i="4"/>
  <c r="R20" i="4"/>
  <c r="O113" i="4"/>
  <c r="O107" i="4"/>
  <c r="O101" i="4"/>
  <c r="O98" i="4"/>
  <c r="O95" i="4"/>
  <c r="O92" i="4"/>
  <c r="O89" i="4"/>
  <c r="O86" i="4"/>
  <c r="O80" i="4"/>
  <c r="O77" i="4"/>
  <c r="O74" i="4"/>
  <c r="O68" i="4"/>
  <c r="O59" i="4"/>
  <c r="O56" i="4"/>
  <c r="O53" i="4"/>
  <c r="O47" i="4"/>
  <c r="R13" i="4"/>
  <c r="R106" i="4"/>
  <c r="R88" i="4"/>
  <c r="R76" i="4"/>
  <c r="R70" i="4"/>
  <c r="R64" i="4"/>
  <c r="R61" i="4"/>
  <c r="R58" i="4"/>
  <c r="R55" i="4"/>
  <c r="R52" i="4"/>
  <c r="R39" i="4"/>
  <c r="R27" i="4"/>
  <c r="R12" i="4"/>
  <c r="R109" i="4"/>
  <c r="R103" i="4"/>
  <c r="R97" i="4"/>
  <c r="R85" i="4"/>
  <c r="R67" i="4"/>
  <c r="O41" i="4"/>
  <c r="O38" i="4"/>
  <c r="O29" i="4"/>
  <c r="O26" i="4"/>
  <c r="O20" i="4"/>
  <c r="O17" i="4"/>
  <c r="O14" i="4"/>
  <c r="O11" i="4"/>
  <c r="O8" i="4"/>
  <c r="O5" i="4"/>
  <c r="M79" i="4"/>
  <c r="M49" i="4"/>
  <c r="M15" i="4"/>
  <c r="M82" i="4"/>
  <c r="M99" i="4"/>
  <c r="M83" i="4"/>
  <c r="M32" i="4"/>
  <c r="M66" i="4"/>
  <c r="M39" i="4"/>
  <c r="M91" i="4"/>
  <c r="M112" i="4"/>
  <c r="M100" i="4"/>
  <c r="M6" i="4"/>
  <c r="M73" i="4"/>
  <c r="M54" i="4"/>
  <c r="M94" i="4"/>
  <c r="M48" i="4"/>
  <c r="M12" i="4"/>
  <c r="M95" i="4"/>
  <c r="M4" i="4"/>
  <c r="M84" i="4"/>
  <c r="M10" i="4"/>
  <c r="M44" i="4"/>
  <c r="M65" i="4"/>
  <c r="M51" i="4"/>
  <c r="M102" i="4"/>
  <c r="M2" i="4"/>
  <c r="M78" i="4"/>
  <c r="M21" i="4"/>
  <c r="M42" i="4"/>
  <c r="M35" i="4"/>
  <c r="M33" i="4"/>
  <c r="M93" i="4"/>
  <c r="M96" i="4"/>
  <c r="M110" i="4"/>
  <c r="M67" i="4"/>
  <c r="M90" i="4"/>
  <c r="M71" i="4"/>
  <c r="M19" i="4"/>
  <c r="M50" i="4"/>
  <c r="M23" i="4"/>
  <c r="M16" i="4"/>
  <c r="M70" i="4"/>
  <c r="M62" i="4"/>
  <c r="M104" i="4"/>
  <c r="M60" i="4"/>
  <c r="M76" i="4"/>
  <c r="I2" i="2"/>
  <c r="O76" i="2" l="1"/>
  <c r="N76" i="2"/>
  <c r="L86" i="2"/>
  <c r="L71" i="2"/>
  <c r="L67" i="2"/>
  <c r="L64" i="2"/>
  <c r="L89" i="2"/>
  <c r="L72" i="2"/>
  <c r="L90" i="2"/>
  <c r="L65" i="2"/>
  <c r="L93" i="2"/>
  <c r="L87" i="2"/>
  <c r="L68" i="2"/>
  <c r="L66" i="2"/>
  <c r="L77" i="2"/>
  <c r="L85" i="2"/>
  <c r="L57" i="2"/>
  <c r="L58" i="2"/>
  <c r="L59" i="2"/>
  <c r="L73" i="2"/>
  <c r="L74" i="2"/>
  <c r="L96" i="2"/>
  <c r="L2" i="2"/>
  <c r="L91" i="2"/>
  <c r="L80" i="2"/>
  <c r="L81" i="2"/>
  <c r="L75" i="2"/>
  <c r="L94" i="2"/>
  <c r="L95" i="2"/>
  <c r="L88" i="2"/>
  <c r="L3" i="2"/>
  <c r="L82" i="2"/>
  <c r="L69" i="2"/>
  <c r="L83" i="2"/>
  <c r="L70" i="2"/>
  <c r="L78" i="2"/>
  <c r="L60" i="2"/>
  <c r="L61" i="2"/>
  <c r="L84" i="2"/>
  <c r="L79" i="2"/>
  <c r="S79" i="2" s="1"/>
  <c r="L4" i="2"/>
  <c r="L5" i="2"/>
  <c r="L6" i="2"/>
  <c r="L7" i="2"/>
  <c r="L8" i="2"/>
  <c r="L9" i="2"/>
  <c r="L10" i="2"/>
  <c r="M10" i="2" s="1"/>
  <c r="L11" i="2"/>
  <c r="M11" i="2" s="1"/>
  <c r="L12" i="2"/>
  <c r="L13" i="2"/>
  <c r="L14" i="2"/>
  <c r="L15" i="2"/>
  <c r="L16" i="2"/>
  <c r="L17" i="2"/>
  <c r="L18" i="2"/>
  <c r="L19" i="2"/>
  <c r="L20" i="2"/>
  <c r="L21" i="2"/>
  <c r="L22" i="2"/>
  <c r="L23" i="2"/>
  <c r="M23" i="2" s="1"/>
  <c r="L106" i="2"/>
  <c r="L97" i="2"/>
  <c r="L111" i="2"/>
  <c r="L103" i="2"/>
  <c r="L104" i="2"/>
  <c r="L102" i="2"/>
  <c r="L109" i="2"/>
  <c r="L107" i="2"/>
  <c r="L98" i="2"/>
  <c r="L105" i="2"/>
  <c r="L99" i="2"/>
  <c r="L108" i="2"/>
  <c r="L100" i="2"/>
  <c r="L110" i="2"/>
  <c r="L112" i="2"/>
  <c r="L24" i="2"/>
  <c r="L25" i="2"/>
  <c r="L26" i="2"/>
  <c r="L27" i="2"/>
  <c r="L101" i="2"/>
  <c r="L62" i="2"/>
  <c r="L28" i="2"/>
  <c r="L29" i="2"/>
  <c r="L92" i="2"/>
  <c r="L30" i="2"/>
  <c r="L31" i="2"/>
  <c r="L32" i="2"/>
  <c r="L33" i="2"/>
  <c r="L34" i="2"/>
  <c r="L35" i="2"/>
  <c r="L36" i="2"/>
  <c r="L37" i="2"/>
  <c r="L38" i="2"/>
  <c r="L39" i="2"/>
  <c r="L40" i="2"/>
  <c r="L41" i="2"/>
  <c r="L42" i="2"/>
  <c r="L43" i="2"/>
  <c r="L44" i="2"/>
  <c r="L45" i="2"/>
  <c r="L46" i="2"/>
  <c r="L47" i="2"/>
  <c r="L63" i="2"/>
  <c r="L48" i="2"/>
  <c r="L49" i="2"/>
  <c r="L50" i="2"/>
  <c r="L51" i="2"/>
  <c r="L52" i="2"/>
  <c r="L53" i="2"/>
  <c r="L54" i="2"/>
  <c r="L55" i="2"/>
  <c r="L113" i="2"/>
  <c r="L56" i="2"/>
  <c r="L76" i="2"/>
  <c r="J86" i="2"/>
  <c r="J71" i="2"/>
  <c r="J67" i="2"/>
  <c r="J64" i="2"/>
  <c r="J89" i="2"/>
  <c r="J72" i="2"/>
  <c r="J90" i="2"/>
  <c r="J65" i="2"/>
  <c r="J93" i="2"/>
  <c r="J87" i="2"/>
  <c r="J68" i="2"/>
  <c r="J66" i="2"/>
  <c r="J77" i="2"/>
  <c r="J85" i="2"/>
  <c r="J57" i="2"/>
  <c r="J58" i="2"/>
  <c r="J59" i="2"/>
  <c r="J73" i="2"/>
  <c r="J74" i="2"/>
  <c r="J96" i="2"/>
  <c r="J2" i="2"/>
  <c r="J91" i="2"/>
  <c r="J80" i="2"/>
  <c r="J81" i="2"/>
  <c r="J75" i="2"/>
  <c r="J94" i="2"/>
  <c r="J95" i="2"/>
  <c r="J88" i="2"/>
  <c r="J3" i="2"/>
  <c r="J82" i="2"/>
  <c r="J69" i="2"/>
  <c r="J83" i="2"/>
  <c r="J70" i="2"/>
  <c r="J78" i="2"/>
  <c r="J60" i="2"/>
  <c r="J61" i="2"/>
  <c r="J84" i="2"/>
  <c r="J79" i="2"/>
  <c r="J4" i="2"/>
  <c r="J5" i="2"/>
  <c r="J6" i="2"/>
  <c r="J7" i="2"/>
  <c r="J8" i="2"/>
  <c r="J9" i="2"/>
  <c r="J10" i="2"/>
  <c r="J11" i="2"/>
  <c r="J12" i="2"/>
  <c r="J13" i="2"/>
  <c r="J14" i="2"/>
  <c r="J15" i="2"/>
  <c r="J16" i="2"/>
  <c r="J17" i="2"/>
  <c r="J18" i="2"/>
  <c r="J19" i="2"/>
  <c r="J20" i="2"/>
  <c r="J21" i="2"/>
  <c r="J22" i="2"/>
  <c r="J23" i="2"/>
  <c r="J106" i="2"/>
  <c r="J97" i="2"/>
  <c r="J111" i="2"/>
  <c r="J103" i="2"/>
  <c r="J104" i="2"/>
  <c r="J102" i="2"/>
  <c r="J109" i="2"/>
  <c r="J107" i="2"/>
  <c r="J98" i="2"/>
  <c r="J105" i="2"/>
  <c r="J99" i="2"/>
  <c r="J108" i="2"/>
  <c r="J100" i="2"/>
  <c r="J110" i="2"/>
  <c r="J112" i="2"/>
  <c r="J24" i="2"/>
  <c r="J25" i="2"/>
  <c r="J26" i="2"/>
  <c r="J27" i="2"/>
  <c r="J101" i="2"/>
  <c r="J62" i="2"/>
  <c r="J28" i="2"/>
  <c r="J29" i="2"/>
  <c r="J92" i="2"/>
  <c r="J30" i="2"/>
  <c r="J31" i="2"/>
  <c r="J32" i="2"/>
  <c r="J33" i="2"/>
  <c r="J34" i="2"/>
  <c r="J35" i="2"/>
  <c r="J36" i="2"/>
  <c r="J37" i="2"/>
  <c r="J38" i="2"/>
  <c r="J39" i="2"/>
  <c r="J40" i="2"/>
  <c r="J41" i="2"/>
  <c r="J42" i="2"/>
  <c r="J43" i="2"/>
  <c r="J44" i="2"/>
  <c r="J45" i="2"/>
  <c r="J46" i="2"/>
  <c r="J47" i="2"/>
  <c r="J63" i="2"/>
  <c r="J48" i="2"/>
  <c r="J49" i="2"/>
  <c r="J50" i="2"/>
  <c r="J51" i="2"/>
  <c r="J52" i="2"/>
  <c r="J53" i="2"/>
  <c r="J54" i="2"/>
  <c r="J55" i="2"/>
  <c r="J113" i="2"/>
  <c r="J56" i="2"/>
  <c r="J76" i="2"/>
  <c r="I86" i="2"/>
  <c r="K86" i="2" s="1"/>
  <c r="I71" i="2"/>
  <c r="K71" i="2" s="1"/>
  <c r="I67" i="2"/>
  <c r="K67" i="2" s="1"/>
  <c r="I64" i="2"/>
  <c r="K64" i="2" s="1"/>
  <c r="I89" i="2"/>
  <c r="K89" i="2" s="1"/>
  <c r="I72" i="2"/>
  <c r="K72" i="2" s="1"/>
  <c r="I90" i="2"/>
  <c r="K90" i="2" s="1"/>
  <c r="I65" i="2"/>
  <c r="K65" i="2" s="1"/>
  <c r="I93" i="2"/>
  <c r="K93" i="2" s="1"/>
  <c r="I87" i="2"/>
  <c r="K87" i="2" s="1"/>
  <c r="I68" i="2"/>
  <c r="K68" i="2" s="1"/>
  <c r="I66" i="2"/>
  <c r="K66" i="2" s="1"/>
  <c r="I77" i="2"/>
  <c r="K77" i="2" s="1"/>
  <c r="I85" i="2"/>
  <c r="K85" i="2" s="1"/>
  <c r="I57" i="2"/>
  <c r="K57" i="2" s="1"/>
  <c r="I58" i="2"/>
  <c r="K58" i="2" s="1"/>
  <c r="I59" i="2"/>
  <c r="K59" i="2" s="1"/>
  <c r="I73" i="2"/>
  <c r="K73" i="2" s="1"/>
  <c r="I74" i="2"/>
  <c r="K74" i="2" s="1"/>
  <c r="I96" i="2"/>
  <c r="K96" i="2" s="1"/>
  <c r="K2" i="2"/>
  <c r="I91" i="2"/>
  <c r="K91" i="2" s="1"/>
  <c r="I80" i="2"/>
  <c r="K80" i="2" s="1"/>
  <c r="I81" i="2"/>
  <c r="K81" i="2" s="1"/>
  <c r="I75" i="2"/>
  <c r="K75" i="2" s="1"/>
  <c r="I94" i="2"/>
  <c r="K94" i="2" s="1"/>
  <c r="I95" i="2"/>
  <c r="K95" i="2" s="1"/>
  <c r="I88" i="2"/>
  <c r="K88" i="2" s="1"/>
  <c r="I3" i="2"/>
  <c r="K3" i="2" s="1"/>
  <c r="I82" i="2"/>
  <c r="K82" i="2" s="1"/>
  <c r="I69" i="2"/>
  <c r="K69" i="2" s="1"/>
  <c r="I83" i="2"/>
  <c r="K83" i="2" s="1"/>
  <c r="I70" i="2"/>
  <c r="K70" i="2" s="1"/>
  <c r="I78" i="2"/>
  <c r="K78" i="2" s="1"/>
  <c r="I60" i="2"/>
  <c r="K60" i="2" s="1"/>
  <c r="I61" i="2"/>
  <c r="K61" i="2" s="1"/>
  <c r="I84" i="2"/>
  <c r="K84" i="2" s="1"/>
  <c r="I79" i="2"/>
  <c r="K79" i="2" s="1"/>
  <c r="I4" i="2"/>
  <c r="K4" i="2" s="1"/>
  <c r="I5" i="2"/>
  <c r="K5" i="2" s="1"/>
  <c r="I6" i="2"/>
  <c r="K6" i="2" s="1"/>
  <c r="I7" i="2"/>
  <c r="K7" i="2" s="1"/>
  <c r="I8" i="2"/>
  <c r="K8" i="2" s="1"/>
  <c r="I9" i="2"/>
  <c r="K9" i="2" s="1"/>
  <c r="I10" i="2"/>
  <c r="K10" i="2" s="1"/>
  <c r="I11" i="2"/>
  <c r="K11" i="2" s="1"/>
  <c r="I12" i="2"/>
  <c r="K12" i="2" s="1"/>
  <c r="I13" i="2"/>
  <c r="K13" i="2" s="1"/>
  <c r="I14" i="2"/>
  <c r="K14" i="2" s="1"/>
  <c r="I15" i="2"/>
  <c r="K15" i="2" s="1"/>
  <c r="I16" i="2"/>
  <c r="K16" i="2" s="1"/>
  <c r="I17" i="2"/>
  <c r="K17" i="2" s="1"/>
  <c r="I18" i="2"/>
  <c r="K18" i="2" s="1"/>
  <c r="I19" i="2"/>
  <c r="K19" i="2" s="1"/>
  <c r="I20" i="2"/>
  <c r="K20" i="2" s="1"/>
  <c r="I21" i="2"/>
  <c r="K21" i="2" s="1"/>
  <c r="I22" i="2"/>
  <c r="K22" i="2" s="1"/>
  <c r="I23" i="2"/>
  <c r="K23" i="2" s="1"/>
  <c r="I106" i="2"/>
  <c r="K106" i="2" s="1"/>
  <c r="I97" i="2"/>
  <c r="K97" i="2" s="1"/>
  <c r="I111" i="2"/>
  <c r="K111" i="2" s="1"/>
  <c r="I103" i="2"/>
  <c r="K103" i="2" s="1"/>
  <c r="I104" i="2"/>
  <c r="K104" i="2" s="1"/>
  <c r="I102" i="2"/>
  <c r="K102" i="2" s="1"/>
  <c r="I109" i="2"/>
  <c r="K109" i="2" s="1"/>
  <c r="I107" i="2"/>
  <c r="K107" i="2" s="1"/>
  <c r="I98" i="2"/>
  <c r="K98" i="2" s="1"/>
  <c r="I105" i="2"/>
  <c r="K105" i="2" s="1"/>
  <c r="I99" i="2"/>
  <c r="K99" i="2" s="1"/>
  <c r="I108" i="2"/>
  <c r="K108" i="2" s="1"/>
  <c r="I100" i="2"/>
  <c r="K100" i="2" s="1"/>
  <c r="I110" i="2"/>
  <c r="K110" i="2" s="1"/>
  <c r="I112" i="2"/>
  <c r="K112" i="2" s="1"/>
  <c r="I24" i="2"/>
  <c r="K24" i="2" s="1"/>
  <c r="I25" i="2"/>
  <c r="K25" i="2" s="1"/>
  <c r="I26" i="2"/>
  <c r="K26" i="2" s="1"/>
  <c r="I27" i="2"/>
  <c r="K27" i="2" s="1"/>
  <c r="I101" i="2"/>
  <c r="K101" i="2" s="1"/>
  <c r="I62" i="2"/>
  <c r="K62" i="2" s="1"/>
  <c r="I28" i="2"/>
  <c r="K28" i="2" s="1"/>
  <c r="I29" i="2"/>
  <c r="K29" i="2" s="1"/>
  <c r="I92" i="2"/>
  <c r="K92" i="2" s="1"/>
  <c r="I30" i="2"/>
  <c r="K30" i="2" s="1"/>
  <c r="I31" i="2"/>
  <c r="K31" i="2" s="1"/>
  <c r="I32" i="2"/>
  <c r="K32" i="2" s="1"/>
  <c r="I33" i="2"/>
  <c r="K33" i="2" s="1"/>
  <c r="I34" i="2"/>
  <c r="K34" i="2" s="1"/>
  <c r="I35" i="2"/>
  <c r="K35" i="2" s="1"/>
  <c r="I36" i="2"/>
  <c r="K36" i="2" s="1"/>
  <c r="I37" i="2"/>
  <c r="K37" i="2" s="1"/>
  <c r="I38" i="2"/>
  <c r="K38" i="2" s="1"/>
  <c r="I39" i="2"/>
  <c r="K39" i="2" s="1"/>
  <c r="I40" i="2"/>
  <c r="K40" i="2" s="1"/>
  <c r="I41" i="2"/>
  <c r="K41" i="2" s="1"/>
  <c r="I42" i="2"/>
  <c r="K42" i="2" s="1"/>
  <c r="I43" i="2"/>
  <c r="K43" i="2" s="1"/>
  <c r="I44" i="2"/>
  <c r="K44" i="2" s="1"/>
  <c r="I45" i="2"/>
  <c r="K45" i="2" s="1"/>
  <c r="I46" i="2"/>
  <c r="K46" i="2" s="1"/>
  <c r="I47" i="2"/>
  <c r="K47" i="2" s="1"/>
  <c r="I63" i="2"/>
  <c r="K63" i="2" s="1"/>
  <c r="I48" i="2"/>
  <c r="K48" i="2" s="1"/>
  <c r="I49" i="2"/>
  <c r="K49" i="2" s="1"/>
  <c r="I50" i="2"/>
  <c r="K50" i="2" s="1"/>
  <c r="I51" i="2"/>
  <c r="K51" i="2" s="1"/>
  <c r="I52" i="2"/>
  <c r="K52" i="2" s="1"/>
  <c r="I53" i="2"/>
  <c r="K53" i="2" s="1"/>
  <c r="I54" i="2"/>
  <c r="K54" i="2" s="1"/>
  <c r="I55" i="2"/>
  <c r="K55" i="2" s="1"/>
  <c r="I113" i="2"/>
  <c r="K113" i="2" s="1"/>
  <c r="I56" i="2"/>
  <c r="K56" i="2" s="1"/>
  <c r="I76" i="2"/>
  <c r="K76" i="2" s="1"/>
  <c r="S48" i="2" l="1"/>
  <c r="S37" i="2"/>
  <c r="S56" i="2"/>
  <c r="S94" i="2"/>
  <c r="S85" i="2"/>
  <c r="S71" i="2"/>
  <c r="S107" i="2"/>
  <c r="S36" i="2"/>
  <c r="S18" i="2"/>
  <c r="S35" i="2"/>
  <c r="S88" i="2"/>
  <c r="S34" i="2"/>
  <c r="S57" i="2"/>
  <c r="S33" i="2"/>
  <c r="S55" i="2"/>
  <c r="S44" i="2"/>
  <c r="S32" i="2"/>
  <c r="S112" i="2"/>
  <c r="S111" i="2"/>
  <c r="S14" i="2"/>
  <c r="S84" i="2"/>
  <c r="S75" i="2"/>
  <c r="S77" i="2"/>
  <c r="S86" i="2"/>
  <c r="S101" i="2"/>
  <c r="S59" i="2"/>
  <c r="S64" i="2"/>
  <c r="S46" i="2"/>
  <c r="S104" i="2"/>
  <c r="S103" i="2"/>
  <c r="S54" i="2"/>
  <c r="S43" i="2"/>
  <c r="S31" i="2"/>
  <c r="S110" i="2"/>
  <c r="S97" i="2"/>
  <c r="S13" i="2"/>
  <c r="S61" i="2"/>
  <c r="S81" i="2"/>
  <c r="S66" i="2"/>
  <c r="S19" i="2"/>
  <c r="S6" i="2"/>
  <c r="S102" i="2"/>
  <c r="S5" i="2"/>
  <c r="S25" i="2"/>
  <c r="S16" i="2"/>
  <c r="S15" i="2"/>
  <c r="S53" i="2"/>
  <c r="S42" i="2"/>
  <c r="S30" i="2"/>
  <c r="S100" i="2"/>
  <c r="S106" i="2"/>
  <c r="S12" i="2"/>
  <c r="S60" i="2"/>
  <c r="S80" i="2"/>
  <c r="S68" i="2"/>
  <c r="S7" i="2"/>
  <c r="S63" i="2"/>
  <c r="S27" i="2"/>
  <c r="S76" i="2"/>
  <c r="S58" i="2"/>
  <c r="S4" i="2"/>
  <c r="S113" i="2"/>
  <c r="M52" i="2"/>
  <c r="S52" i="2"/>
  <c r="S41" i="2"/>
  <c r="S92" i="2"/>
  <c r="S108" i="2"/>
  <c r="S23" i="2"/>
  <c r="S11" i="2"/>
  <c r="M78" i="2"/>
  <c r="S78" i="2"/>
  <c r="S91" i="2"/>
  <c r="S87" i="2"/>
  <c r="S82" i="2"/>
  <c r="S109" i="2"/>
  <c r="S24" i="2"/>
  <c r="M51" i="2"/>
  <c r="S51" i="2"/>
  <c r="S40" i="2"/>
  <c r="S29" i="2"/>
  <c r="S99" i="2"/>
  <c r="M22" i="2"/>
  <c r="S22" i="2"/>
  <c r="S10" i="2"/>
  <c r="S70" i="2"/>
  <c r="S2" i="2"/>
  <c r="S93" i="2"/>
  <c r="M70" i="2"/>
  <c r="S73" i="2"/>
  <c r="S3" i="2"/>
  <c r="S26" i="2"/>
  <c r="S17" i="2"/>
  <c r="S95" i="2"/>
  <c r="S45" i="2"/>
  <c r="S50" i="2"/>
  <c r="S39" i="2"/>
  <c r="S28" i="2"/>
  <c r="S105" i="2"/>
  <c r="S21" i="2"/>
  <c r="S9" i="2"/>
  <c r="S83" i="2"/>
  <c r="S96" i="2"/>
  <c r="S65" i="2"/>
  <c r="S72" i="2"/>
  <c r="S89" i="2"/>
  <c r="S47" i="2"/>
  <c r="S67" i="2"/>
  <c r="S49" i="2"/>
  <c r="S38" i="2"/>
  <c r="S62" i="2"/>
  <c r="S98" i="2"/>
  <c r="S20" i="2"/>
  <c r="S8" i="2"/>
  <c r="S69" i="2"/>
  <c r="S74" i="2"/>
  <c r="S90" i="2"/>
  <c r="M76" i="2"/>
  <c r="P76" i="2"/>
  <c r="M47" i="2"/>
  <c r="P47" i="2"/>
  <c r="M35" i="2"/>
  <c r="P35" i="2"/>
  <c r="M26" i="2"/>
  <c r="P26" i="2"/>
  <c r="M102" i="2"/>
  <c r="P102" i="2"/>
  <c r="M17" i="2"/>
  <c r="P17" i="2"/>
  <c r="M5" i="2"/>
  <c r="P5" i="2"/>
  <c r="M88" i="2"/>
  <c r="P88" i="2"/>
  <c r="M58" i="2"/>
  <c r="P58" i="2"/>
  <c r="M64" i="2"/>
  <c r="P64" i="2"/>
  <c r="M56" i="2"/>
  <c r="P56" i="2"/>
  <c r="M46" i="2"/>
  <c r="P46" i="2"/>
  <c r="M34" i="2"/>
  <c r="P34" i="2"/>
  <c r="M25" i="2"/>
  <c r="P25" i="2"/>
  <c r="M104" i="2"/>
  <c r="P104" i="2"/>
  <c r="M16" i="2"/>
  <c r="P16" i="2"/>
  <c r="M4" i="2"/>
  <c r="P4" i="2"/>
  <c r="M95" i="2"/>
  <c r="P95" i="2"/>
  <c r="M57" i="2"/>
  <c r="P57" i="2"/>
  <c r="M67" i="2"/>
  <c r="P67" i="2"/>
  <c r="M113" i="2"/>
  <c r="P113" i="2"/>
  <c r="M45" i="2"/>
  <c r="P45" i="2"/>
  <c r="M33" i="2"/>
  <c r="P33" i="2"/>
  <c r="M24" i="2"/>
  <c r="P24" i="2"/>
  <c r="M103" i="2"/>
  <c r="P103" i="2"/>
  <c r="M15" i="2"/>
  <c r="P15" i="2"/>
  <c r="M79" i="2"/>
  <c r="P79" i="2"/>
  <c r="M94" i="2"/>
  <c r="P94" i="2"/>
  <c r="M85" i="2"/>
  <c r="P85" i="2"/>
  <c r="M71" i="2"/>
  <c r="P71" i="2"/>
  <c r="M55" i="2"/>
  <c r="P55" i="2"/>
  <c r="M44" i="2"/>
  <c r="P44" i="2"/>
  <c r="M32" i="2"/>
  <c r="P32" i="2"/>
  <c r="M112" i="2"/>
  <c r="P112" i="2"/>
  <c r="M111" i="2"/>
  <c r="P111" i="2"/>
  <c r="M14" i="2"/>
  <c r="P14" i="2"/>
  <c r="M84" i="2"/>
  <c r="P84" i="2"/>
  <c r="M75" i="2"/>
  <c r="P75" i="2"/>
  <c r="M77" i="2"/>
  <c r="P77" i="2"/>
  <c r="M86" i="2"/>
  <c r="P86" i="2"/>
  <c r="M54" i="2"/>
  <c r="P54" i="2"/>
  <c r="M43" i="2"/>
  <c r="P43" i="2"/>
  <c r="M31" i="2"/>
  <c r="P31" i="2"/>
  <c r="M110" i="2"/>
  <c r="P110" i="2"/>
  <c r="M97" i="2"/>
  <c r="P97" i="2"/>
  <c r="M13" i="2"/>
  <c r="P13" i="2"/>
  <c r="M61" i="2"/>
  <c r="P61" i="2"/>
  <c r="M81" i="2"/>
  <c r="P81" i="2"/>
  <c r="M66" i="2"/>
  <c r="P66" i="2"/>
  <c r="M53" i="2"/>
  <c r="P53" i="2"/>
  <c r="M42" i="2"/>
  <c r="P42" i="2"/>
  <c r="M30" i="2"/>
  <c r="P30" i="2"/>
  <c r="M100" i="2"/>
  <c r="P100" i="2"/>
  <c r="M106" i="2"/>
  <c r="P106" i="2"/>
  <c r="M12" i="2"/>
  <c r="P12" i="2"/>
  <c r="M60" i="2"/>
  <c r="P60" i="2"/>
  <c r="M80" i="2"/>
  <c r="P80" i="2"/>
  <c r="M68" i="2"/>
  <c r="P68" i="2"/>
  <c r="P52" i="2"/>
  <c r="P41" i="2"/>
  <c r="P92" i="2"/>
  <c r="P108" i="2"/>
  <c r="P23" i="2"/>
  <c r="P11" i="2"/>
  <c r="P78" i="2"/>
  <c r="P91" i="2"/>
  <c r="P87" i="2"/>
  <c r="M41" i="2"/>
  <c r="M91" i="2"/>
  <c r="P51" i="2"/>
  <c r="P40" i="2"/>
  <c r="P29" i="2"/>
  <c r="P99" i="2"/>
  <c r="P22" i="2"/>
  <c r="P10" i="2"/>
  <c r="P70" i="2"/>
  <c r="P2" i="2"/>
  <c r="P93" i="2"/>
  <c r="M40" i="2"/>
  <c r="M2" i="2"/>
  <c r="M50" i="2"/>
  <c r="P50" i="2"/>
  <c r="M39" i="2"/>
  <c r="P39" i="2"/>
  <c r="M28" i="2"/>
  <c r="P28" i="2"/>
  <c r="M105" i="2"/>
  <c r="P105" i="2"/>
  <c r="M21" i="2"/>
  <c r="P21" i="2"/>
  <c r="M9" i="2"/>
  <c r="P9" i="2"/>
  <c r="M83" i="2"/>
  <c r="P83" i="2"/>
  <c r="M96" i="2"/>
  <c r="P96" i="2"/>
  <c r="M65" i="2"/>
  <c r="P65" i="2"/>
  <c r="M92" i="2"/>
  <c r="M87" i="2"/>
  <c r="M49" i="2"/>
  <c r="P49" i="2"/>
  <c r="M38" i="2"/>
  <c r="P38" i="2"/>
  <c r="M62" i="2"/>
  <c r="P62" i="2"/>
  <c r="M98" i="2"/>
  <c r="P98" i="2"/>
  <c r="M20" i="2"/>
  <c r="P20" i="2"/>
  <c r="M8" i="2"/>
  <c r="P8" i="2"/>
  <c r="M69" i="2"/>
  <c r="P69" i="2"/>
  <c r="M74" i="2"/>
  <c r="P74" i="2"/>
  <c r="M90" i="2"/>
  <c r="P90" i="2"/>
  <c r="M29" i="2"/>
  <c r="M93" i="2"/>
  <c r="M48" i="2"/>
  <c r="P48" i="2"/>
  <c r="M37" i="2"/>
  <c r="P37" i="2"/>
  <c r="M101" i="2"/>
  <c r="P101" i="2"/>
  <c r="M107" i="2"/>
  <c r="P107" i="2"/>
  <c r="M19" i="2"/>
  <c r="P19" i="2"/>
  <c r="M7" i="2"/>
  <c r="P7" i="2"/>
  <c r="M82" i="2"/>
  <c r="P82" i="2"/>
  <c r="M73" i="2"/>
  <c r="P73" i="2"/>
  <c r="M72" i="2"/>
  <c r="P72" i="2"/>
  <c r="M108" i="2"/>
  <c r="M63" i="2"/>
  <c r="P63" i="2"/>
  <c r="M36" i="2"/>
  <c r="P36" i="2"/>
  <c r="M27" i="2"/>
  <c r="P27" i="2"/>
  <c r="M109" i="2"/>
  <c r="P109" i="2"/>
  <c r="M18" i="2"/>
  <c r="P18" i="2"/>
  <c r="M6" i="2"/>
  <c r="P6" i="2"/>
  <c r="M3" i="2"/>
  <c r="P3" i="2"/>
  <c r="M59" i="2"/>
  <c r="P59" i="2"/>
  <c r="M89" i="2"/>
  <c r="P89" i="2"/>
  <c r="M9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11" authorId="0" shapeId="0" xr:uid="{B8E67AC1-7BE3-1347-8D91-6F0F98F788FE}">
      <text>
        <r>
          <rPr>
            <b/>
            <sz val="10"/>
            <color rgb="FF000000"/>
            <rFont val="Tahoma"/>
            <family val="2"/>
          </rPr>
          <t xml:space="preserve">Martin Mwenda:
</t>
        </r>
        <r>
          <rPr>
            <b/>
            <sz val="10"/>
            <color rgb="FF000000"/>
            <rFont val="Tahoma"/>
            <family val="2"/>
          </rPr>
          <t xml:space="preserve">Top 10 items with highest discount and rating
</t>
        </r>
        <r>
          <rPr>
            <sz val="10"/>
            <color rgb="FF000000"/>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57" authorId="0" shapeId="0" xr:uid="{7E6ABFFD-150B-D64A-AD56-9F6DA6ABD979}">
      <text>
        <r>
          <rPr>
            <b/>
            <sz val="10"/>
            <color rgb="FF000000"/>
            <rFont val="Tahoma"/>
            <family val="2"/>
          </rPr>
          <t>Martin Mwenda:</t>
        </r>
        <r>
          <rPr>
            <sz val="10"/>
            <color rgb="FF000000"/>
            <rFont val="Tahoma"/>
            <family val="2"/>
          </rPr>
          <t xml:space="preserve">
</t>
        </r>
        <r>
          <rPr>
            <sz val="10"/>
            <color rgb="FF000000"/>
            <rFont val="Tahoma"/>
            <family val="2"/>
          </rPr>
          <t>the products in red had the highest ratings as per the trend analysis</t>
        </r>
      </text>
    </comment>
    <comment ref="A109" authorId="0" shapeId="0" xr:uid="{7B0B823F-8A9C-4849-8DEC-65563478727D}">
      <text>
        <r>
          <rPr>
            <b/>
            <sz val="10"/>
            <color rgb="FF000000"/>
            <rFont val="Tahoma"/>
            <family val="2"/>
          </rPr>
          <t xml:space="preserve">Martin Mwenda:
</t>
        </r>
        <r>
          <rPr>
            <b/>
            <sz val="10"/>
            <color rgb="FF000000"/>
            <rFont val="Tahoma"/>
            <family val="2"/>
          </rPr>
          <t xml:space="preserve">
</t>
        </r>
        <r>
          <rPr>
            <b/>
            <sz val="10"/>
            <color rgb="FF000000"/>
            <rFont val="Tahoma"/>
            <family val="2"/>
          </rPr>
          <t xml:space="preserve">This are the items with the lowest ratings
</t>
        </r>
        <r>
          <rPr>
            <sz val="10"/>
            <color rgb="FF000000"/>
            <rFont val="Tahoma"/>
            <family val="2"/>
          </rPr>
          <t xml:space="preserve">
</t>
        </r>
      </text>
    </comment>
  </commentList>
</comments>
</file>

<file path=xl/sharedStrings.xml><?xml version="1.0" encoding="utf-8"?>
<sst xmlns="http://schemas.openxmlformats.org/spreadsheetml/2006/main" count="1252" uniqueCount="352">
  <si>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</si>
  <si>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</si>
  <si>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</si>
  <si>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</si>
  <si>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</si>
  <si>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</si>
  <si>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</si>
  <si>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</si>
  <si>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</si>
  <si>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</si>
  <si>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</si>
  <si>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</si>
  <si>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</si>
  <si>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</si>
  <si>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</si>
  <si>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</si>
  <si>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</si>
  <si>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</si>
  <si>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</si>
  <si>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</si>
  <si>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</si>
  <si>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</si>
  <si>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</si>
  <si>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</si>
  <si>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</si>
  <si>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</si>
  <si>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</si>
  <si>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</si>
  <si>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</si>
  <si>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</si>
  <si>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</si>
  <si>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</si>
  <si>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</si>
  <si>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</si>
  <si>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</si>
  <si>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</si>
  <si>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</si>
  <si>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</si>
  <si>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</si>
  <si>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</si>
  <si>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</si>
  <si>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</si>
  <si>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</si>
  <si>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</si>
  <si>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</si>
  <si>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</si>
  <si>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</si>
  <si>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</si>
  <si>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</si>
  <si>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</si>
  <si>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</si>
  <si>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</si>
  <si>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</si>
  <si>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</si>
  <si>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</si>
  <si>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</si>
  <si>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</si>
  <si>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</si>
  <si>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</si>
  <si>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</si>
  <si>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</si>
  <si>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</si>
  <si>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</si>
  <si>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</si>
  <si>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</si>
  <si>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</si>
  <si>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</si>
  <si>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</si>
  <si>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</si>
  <si>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</si>
  <si>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</si>
  <si>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</si>
  <si>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</si>
  <si>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</si>
  <si>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</si>
  <si>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</si>
  <si>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</si>
  <si>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</si>
  <si>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</si>
  <si>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</si>
  <si>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</si>
  <si>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</si>
  <si>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</si>
  <si>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</si>
  <si>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</si>
  <si>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</si>
  <si>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</si>
  <si>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</si>
  <si>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</si>
  <si>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</si>
  <si>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</si>
  <si>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</si>
  <si>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</si>
  <si>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</si>
  <si>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</si>
  <si>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</si>
  <si>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</si>
  <si>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</si>
  <si>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</si>
  <si>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</si>
  <si>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</si>
  <si>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</si>
  <si>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</si>
  <si>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</si>
  <si>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</si>
  <si>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</si>
  <si>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</si>
  <si>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</si>
  <si>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</si>
  <si>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</si>
  <si>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</si>
  <si>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</si>
  <si>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</si>
  <si>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</si>
  <si>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</si>
  <si>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</si>
  <si>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</si>
  <si>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</si>
  <si>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</si>
  <si>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</si>
  <si>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</si>
  <si>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</si>
  <si>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</si>
  <si>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</si>
  <si>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</si>
  <si>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</si>
  <si>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</si>
  <si>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</si>
  <si>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</si>
  <si>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</si>
  <si>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</si>
  <si>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</si>
  <si>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</si>
  <si>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</si>
  <si>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</si>
  <si>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</si>
  <si>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</si>
  <si>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</si>
  <si>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</si>
  <si>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</si>
  <si>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</si>
  <si>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</si>
  <si>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</si>
  <si>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</si>
  <si>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</si>
  <si>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</si>
  <si>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</si>
  <si>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</si>
  <si>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</si>
  <si>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</si>
  <si>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</si>
  <si>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</si>
  <si>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</si>
  <si>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</si>
  <si>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</si>
  <si>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</si>
  <si>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</si>
  <si>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</si>
  <si>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</si>
  <si>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</si>
  <si>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</si>
  <si>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</si>
  <si>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</si>
  <si>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</si>
  <si>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</si>
  <si>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</si>
  <si>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</si>
  <si>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</si>
  <si>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</si>
  <si>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</si>
  <si>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</si>
  <si>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</si>
  <si>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</si>
  <si>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</si>
  <si>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</si>
  <si>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</si>
  <si>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</si>
  <si>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</si>
  <si>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</si>
  <si>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</si>
  <si>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</si>
  <si>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</si>
  <si>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</si>
  <si>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</si>
  <si>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</si>
  <si>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</si>
  <si>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</si>
  <si>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</si>
  <si>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</si>
  <si>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</si>
  <si>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</si>
  <si>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</si>
  <si>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</si>
  <si>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</si>
  <si>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</si>
  <si>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</si>
  <si>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</si>
  <si>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</si>
  <si>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</si>
  <si>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</si>
  <si>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</si>
  <si>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</si>
  <si>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</si>
  <si>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</si>
  <si>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</si>
  <si>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</si>
  <si>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</si>
  <si>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</si>
  <si>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</si>
  <si>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</si>
  <si>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</si>
  <si>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</si>
  <si>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</si>
  <si>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</si>
  <si>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</si>
  <si>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</si>
  <si>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</si>
  <si>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</si>
  <si>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</si>
  <si>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</si>
  <si>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</si>
  <si>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</si>
  <si>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</si>
  <si>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</si>
  <si>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</si>
  <si>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</si>
  <si>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</si>
  <si>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</si>
  <si>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</si>
  <si>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</si>
  <si>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</si>
  <si>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</si>
  <si>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</si>
  <si>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</si>
  <si>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</si>
  <si>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</si>
  <si>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</si>
  <si>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</si>
  <si>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</si>
  <si>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</si>
  <si>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</si>
  <si>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</si>
  <si>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</si>
  <si>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</si>
  <si>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</si>
  <si>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</si>
  <si>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</si>
  <si>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</si>
  <si>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</si>
  <si>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</si>
  <si>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</si>
  <si>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</si>
  <si>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</si>
  <si>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</si>
  <si>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</si>
  <si>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</si>
  <si>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</si>
  <si>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</si>
  <si>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</si>
  <si>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</si>
  <si>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</si>
  <si>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</si>
  <si>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</si>
  <si>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</si>
  <si>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</si>
  <si>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</si>
  <si>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</si>
  <si>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</si>
  <si>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</si>
  <si>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</si>
  <si>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</si>
  <si>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</si>
  <si>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</si>
  <si>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</si>
  <si>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</si>
  <si>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</si>
  <si>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</si>
  <si>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</si>
  <si>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</si>
  <si>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</si>
  <si>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</si>
  <si>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</si>
  <si>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</si>
  <si>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</si>
  <si>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</si>
  <si>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</si>
  <si>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</si>
  <si>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</si>
  <si>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</si>
  <si>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</si>
  <si>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</si>
  <si>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</si>
  <si>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</si>
  <si>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</si>
  <si>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</si>
  <si>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</si>
  <si>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</si>
  <si>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</si>
  <si>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</si>
  <si>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</si>
  <si>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</si>
  <si>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</si>
  <si>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</si>
  <si>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</si>
  <si>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</si>
  <si>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</si>
  <si>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</si>
  <si>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</si>
  <si>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</si>
  <si>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</si>
  <si>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</si>
  <si>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</si>
  <si>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</si>
  <si>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</si>
  <si>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</si>
  <si>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</si>
  <si>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</si>
  <si>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</si>
  <si>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</si>
  <si>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</si>
  <si>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</si>
  <si>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</si>
  <si>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</si>
  <si>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Curr</t>
  </si>
  <si>
    <t>KSh</t>
  </si>
  <si>
    <t>1,620 - KSh 1,980</t>
  </si>
  <si>
    <t>Current Price</t>
  </si>
  <si>
    <t>old</t>
  </si>
  <si>
    <t>2,200 - KSh 3,200</t>
  </si>
  <si>
    <t>Ratings</t>
  </si>
  <si>
    <t>Absolute discount</t>
  </si>
  <si>
    <t>Category</t>
  </si>
  <si>
    <t>Category - Discount</t>
  </si>
  <si>
    <t>average current price</t>
  </si>
  <si>
    <t>average old price</t>
  </si>
  <si>
    <t>average discount price</t>
  </si>
  <si>
    <t>most expensive based on the current price</t>
  </si>
  <si>
    <t>least expensive based on the current price</t>
  </si>
  <si>
    <t>Count of Category</t>
  </si>
  <si>
    <t>Row Labels</t>
  </si>
  <si>
    <t>Average</t>
  </si>
  <si>
    <t>Excellent</t>
  </si>
  <si>
    <t>Poor</t>
  </si>
  <si>
    <t>#VALUE!</t>
  </si>
  <si>
    <t>(blank)</t>
  </si>
  <si>
    <t>Grand Total</t>
  </si>
  <si>
    <t>Average of Discount</t>
  </si>
  <si>
    <t>Average of Ratings</t>
  </si>
  <si>
    <t>Do
higher discounts lead to more reviews</t>
  </si>
  <si>
    <t>Category - Discount %</t>
  </si>
  <si>
    <t>Average of Category - Discount %</t>
  </si>
  <si>
    <t>Category - Discount2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</si>
</sst>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000000"/>
      <name val="Tahoma"/>
      <family val="2"/>
    </font>
    <font>
      <b/>
      <sz val="10"/>
      <color rgb="FF000000"/>
      <name val="Tahoma"/>
      <family val="2"/>
    </font>
    <font>
      <sz val="11"/>
      <color theme="9"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0">
    <xf numFmtId="0" fontId="0" fillId="0" borderId="0" xfId="0"/>
    <xf numFmtId="9" fontId="0" fillId="0" borderId="0" xfId="0" applyNumberFormat="1"/>
    <xf numFmtId="49" fontId="0" fillId="0" borderId="0" xfId="0" applyNumberFormat="1"/>
    <xf numFmtId="3" fontId="0" fillId="0" borderId="0" xfId="0" applyNumberFormat="1"/>
    <xf numFmtId="9" fontId="0" fillId="0" borderId="0" xfId="1" applyFont="1"/>
    <xf numFmtId="2" fontId="0" fillId="0" borderId="0" xfId="0" applyNumberFormat="1"/>
    <xf numFmtId="4" fontId="0" fillId="0" borderId="0" xfId="0" applyNumberFormat="1"/>
    <xf numFmtId="2" fontId="0" fillId="0" borderId="0" xfId="1" applyNumberFormat="1" applyFont="1"/>
    <xf numFmtId="0" fontId="16" fillId="0" borderId="10" xfId="0" applyFont="1" applyBorder="1" applyAlignment="1">
      <alignment vertical="center"/>
    </xf>
    <xf numFmtId="0" fontId="16" fillId="33" borderId="10" xfId="0" applyFont="1" applyFill="1" applyBorder="1" applyAlignment="1">
      <alignment vertical="center"/>
    </xf>
    <xf numFmtId="2" fontId="16" fillId="33" borderId="10" xfId="1" applyNumberFormat="1" applyFont="1" applyFill="1" applyBorder="1" applyAlignment="1">
      <alignment vertical="center"/>
    </xf>
    <xf numFmtId="0" fontId="16" fillId="33" borderId="10" xfId="0" applyFont="1" applyFill="1" applyBorder="1" applyAlignment="1">
      <alignment vertical="center" wrapText="1"/>
    </xf>
    <xf numFmtId="0" fontId="0" fillId="0" borderId="0" xfId="0" applyNumberFormat="1"/>
    <xf numFmtId="0" fontId="0" fillId="0" borderId="0" xfId="0" pivotButton="1"/>
    <xf numFmtId="0" fontId="0" fillId="0" borderId="0" xfId="0" applyAlignment="1">
      <alignment horizontal="left"/>
    </xf>
    <xf numFmtId="0" fontId="16" fillId="0" borderId="10" xfId="0" applyFont="1" applyBorder="1" applyAlignment="1">
      <alignment vertical="center" wrapText="1"/>
    </xf>
    <xf numFmtId="0" fontId="20" fillId="0" borderId="0" xfId="0" applyFont="1"/>
    <xf numFmtId="2" fontId="20" fillId="0" borderId="0" xfId="1" applyNumberFormat="1" applyFont="1"/>
    <xf numFmtId="0" fontId="20" fillId="0" borderId="11" xfId="0" applyFont="1" applyBorder="1"/>
    <xf numFmtId="49" fontId="20" fillId="0" borderId="12" xfId="0" applyNumberFormat="1" applyFont="1" applyBorder="1"/>
    <xf numFmtId="0" fontId="20" fillId="0" borderId="12" xfId="0" applyFont="1" applyBorder="1"/>
    <xf numFmtId="3" fontId="20" fillId="0" borderId="12" xfId="0" applyNumberFormat="1" applyFont="1" applyBorder="1"/>
    <xf numFmtId="9" fontId="20" fillId="0" borderId="12" xfId="0" applyNumberFormat="1" applyFont="1" applyBorder="1"/>
    <xf numFmtId="9" fontId="20" fillId="0" borderId="12" xfId="1" applyFont="1" applyBorder="1"/>
    <xf numFmtId="0" fontId="20" fillId="0" borderId="13" xfId="0" applyFont="1" applyBorder="1"/>
    <xf numFmtId="0" fontId="20" fillId="0" borderId="14" xfId="0" applyFont="1" applyBorder="1"/>
    <xf numFmtId="49" fontId="20" fillId="0" borderId="0" xfId="0" applyNumberFormat="1" applyFont="1" applyBorder="1"/>
    <xf numFmtId="0" fontId="20" fillId="0" borderId="0" xfId="0" applyFont="1" applyBorder="1"/>
    <xf numFmtId="3" fontId="20" fillId="0" borderId="0" xfId="0" applyNumberFormat="1" applyFont="1" applyBorder="1"/>
    <xf numFmtId="9" fontId="20" fillId="0" borderId="0" xfId="0" applyNumberFormat="1" applyFont="1" applyBorder="1"/>
    <xf numFmtId="9" fontId="20" fillId="0" borderId="0" xfId="1" applyFont="1" applyBorder="1"/>
    <xf numFmtId="0" fontId="20" fillId="0" borderId="15" xfId="0" applyFont="1" applyBorder="1"/>
    <xf numFmtId="0" fontId="14" fillId="0" borderId="11" xfId="0" applyFont="1" applyBorder="1"/>
    <xf numFmtId="49" fontId="14" fillId="0" borderId="12" xfId="0" applyNumberFormat="1" applyFont="1" applyBorder="1"/>
    <xf numFmtId="0" fontId="14" fillId="0" borderId="12" xfId="0" applyFont="1" applyBorder="1"/>
    <xf numFmtId="9" fontId="14" fillId="0" borderId="12" xfId="0" applyNumberFormat="1" applyFont="1" applyBorder="1"/>
    <xf numFmtId="3" fontId="14" fillId="0" borderId="12" xfId="0" applyNumberFormat="1" applyFont="1" applyBorder="1"/>
    <xf numFmtId="9" fontId="14" fillId="0" borderId="12" xfId="1" applyFont="1" applyBorder="1"/>
    <xf numFmtId="0" fontId="14" fillId="0" borderId="13" xfId="0" applyFont="1" applyBorder="1"/>
    <xf numFmtId="0" fontId="14" fillId="0" borderId="14" xfId="0" applyFont="1" applyBorder="1"/>
    <xf numFmtId="49" fontId="14" fillId="0" borderId="0" xfId="0" applyNumberFormat="1" applyFont="1" applyBorder="1"/>
    <xf numFmtId="0" fontId="14" fillId="0" borderId="0" xfId="0" applyFont="1" applyBorder="1"/>
    <xf numFmtId="9" fontId="14" fillId="0" borderId="0" xfId="0" applyNumberFormat="1" applyFont="1" applyBorder="1"/>
    <xf numFmtId="3" fontId="14" fillId="0" borderId="0" xfId="0" applyNumberFormat="1" applyFont="1" applyBorder="1"/>
    <xf numFmtId="9" fontId="14" fillId="0" borderId="0" xfId="1" applyFont="1" applyBorder="1"/>
    <xf numFmtId="0" fontId="14" fillId="0" borderId="15" xfId="0" applyFont="1" applyBorder="1"/>
    <xf numFmtId="0" fontId="14" fillId="0" borderId="16" xfId="0" applyFont="1" applyBorder="1"/>
    <xf numFmtId="49" fontId="14" fillId="0" borderId="17" xfId="0" applyNumberFormat="1" applyFont="1" applyBorder="1"/>
    <xf numFmtId="0" fontId="14" fillId="0" borderId="17" xfId="0" applyFont="1" applyBorder="1"/>
    <xf numFmtId="9" fontId="14" fillId="0" borderId="17" xfId="0" applyNumberFormat="1" applyFont="1" applyBorder="1"/>
    <xf numFmtId="3" fontId="14" fillId="0" borderId="17" xfId="0" applyNumberFormat="1" applyFont="1" applyBorder="1"/>
    <xf numFmtId="9" fontId="14" fillId="0" borderId="17" xfId="1" applyFont="1" applyBorder="1"/>
    <xf numFmtId="0" fontId="14" fillId="0" borderId="18" xfId="0" applyFont="1" applyBorder="1"/>
    <xf numFmtId="0" fontId="16" fillId="0" borderId="19" xfId="0" applyFont="1" applyBorder="1" applyAlignment="1">
      <alignment vertical="center"/>
    </xf>
    <xf numFmtId="49" fontId="16" fillId="0" borderId="19" xfId="0" applyNumberFormat="1" applyFont="1" applyBorder="1" applyAlignment="1">
      <alignment vertical="center"/>
    </xf>
    <xf numFmtId="0" fontId="16" fillId="33" borderId="19" xfId="0" applyFont="1" applyFill="1" applyBorder="1" applyAlignment="1">
      <alignment vertical="center"/>
    </xf>
    <xf numFmtId="9" fontId="16" fillId="0" borderId="10" xfId="1" applyFont="1" applyBorder="1" applyAlignment="1">
      <alignment vertical="center"/>
    </xf>
    <xf numFmtId="0" fontId="16" fillId="0" borderId="20" xfId="0" applyFont="1" applyBorder="1" applyAlignment="1">
      <alignment vertical="center"/>
    </xf>
    <xf numFmtId="49" fontId="16" fillId="0" borderId="20" xfId="0" applyNumberFormat="1" applyFont="1" applyBorder="1" applyAlignment="1">
      <alignment vertical="center"/>
    </xf>
    <xf numFmtId="0" fontId="16" fillId="33" borderId="20" xfId="0" applyFont="1" applyFill="1" applyBorder="1" applyAlignment="1">
      <alignment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6">
    <dxf>
      <font>
        <b val="0"/>
        <i val="0"/>
        <strike val="0"/>
        <condense val="0"/>
        <extend val="0"/>
        <outline val="0"/>
        <shadow val="0"/>
        <u val="none"/>
        <vertAlign val="baseline"/>
        <sz val="11"/>
        <color theme="9" tint="-0.249977111117893"/>
        <name val="Calibri"/>
        <family val="2"/>
        <scheme val="minor"/>
      </font>
      <border diagonalUp="0" diagonalDown="0">
        <left/>
        <right style="medium">
          <color indexed="64"/>
        </right>
        <top/>
        <bottom/>
        <vertical/>
        <horizontal/>
      </border>
    </dxf>
    <dxf>
      <font>
        <b val="0"/>
        <i val="0"/>
        <strike val="0"/>
        <condense val="0"/>
        <extend val="0"/>
        <outline val="0"/>
        <shadow val="0"/>
        <u val="none"/>
        <vertAlign val="baseline"/>
        <sz val="11"/>
        <color theme="9" tint="-0.249977111117893"/>
        <name val="Calibri"/>
        <family val="2"/>
        <scheme val="minor"/>
      </font>
    </dxf>
    <dxf>
      <font>
        <b val="0"/>
        <i val="0"/>
        <strike val="0"/>
        <condense val="0"/>
        <extend val="0"/>
        <outline val="0"/>
        <shadow val="0"/>
        <u val="none"/>
        <vertAlign val="baseline"/>
        <sz val="11"/>
        <color theme="9" tint="-0.249977111117893"/>
        <name val="Calibri"/>
        <family val="2"/>
        <scheme val="minor"/>
      </font>
    </dxf>
    <dxf>
      <font>
        <b val="0"/>
        <i val="0"/>
        <strike val="0"/>
        <condense val="0"/>
        <extend val="0"/>
        <outline val="0"/>
        <shadow val="0"/>
        <u val="none"/>
        <vertAlign val="baseline"/>
        <sz val="11"/>
        <color theme="9" tint="-0.249977111117893"/>
        <name val="Calibri"/>
        <family val="2"/>
        <scheme val="minor"/>
      </font>
      <numFmt numFmtId="3" formatCode="#,##0"/>
    </dxf>
    <dxf>
      <font>
        <b val="0"/>
        <i val="0"/>
        <strike val="0"/>
        <condense val="0"/>
        <extend val="0"/>
        <outline val="0"/>
        <shadow val="0"/>
        <u val="none"/>
        <vertAlign val="baseline"/>
        <sz val="11"/>
        <color theme="9" tint="-0.249977111117893"/>
        <name val="Calibri"/>
        <family val="2"/>
        <scheme val="minor"/>
      </font>
    </dxf>
    <dxf>
      <font>
        <b val="0"/>
        <i val="0"/>
        <strike val="0"/>
        <condense val="0"/>
        <extend val="0"/>
        <outline val="0"/>
        <shadow val="0"/>
        <u val="none"/>
        <vertAlign val="baseline"/>
        <sz val="11"/>
        <color theme="9" tint="-0.249977111117893"/>
        <name val="Calibri"/>
        <family val="2"/>
        <scheme val="minor"/>
      </font>
    </dxf>
    <dxf>
      <font>
        <b val="0"/>
        <i val="0"/>
        <strike val="0"/>
        <condense val="0"/>
        <extend val="0"/>
        <outline val="0"/>
        <shadow val="0"/>
        <u val="none"/>
        <vertAlign val="baseline"/>
        <sz val="11"/>
        <color theme="9" tint="-0.249977111117893"/>
        <name val="Calibri"/>
        <family val="2"/>
        <scheme val="minor"/>
      </font>
    </dxf>
    <dxf>
      <font>
        <b val="0"/>
        <i val="0"/>
        <strike val="0"/>
        <condense val="0"/>
        <extend val="0"/>
        <outline val="0"/>
        <shadow val="0"/>
        <u val="none"/>
        <vertAlign val="baseline"/>
        <sz val="11"/>
        <color theme="9" tint="-0.249977111117893"/>
        <name val="Calibri"/>
        <family val="2"/>
        <scheme val="minor"/>
      </font>
      <numFmt numFmtId="13" formatCode="0%"/>
    </dxf>
    <dxf>
      <font>
        <b val="0"/>
        <i val="0"/>
        <strike val="0"/>
        <condense val="0"/>
        <extend val="0"/>
        <outline val="0"/>
        <shadow val="0"/>
        <u val="none"/>
        <vertAlign val="baseline"/>
        <sz val="11"/>
        <color theme="9" tint="-0.249977111117893"/>
        <name val="Calibri"/>
        <family val="2"/>
        <scheme val="minor"/>
      </font>
      <numFmt numFmtId="3" formatCode="#,##0"/>
    </dxf>
    <dxf>
      <font>
        <b val="0"/>
        <i val="0"/>
        <strike val="0"/>
        <condense val="0"/>
        <extend val="0"/>
        <outline val="0"/>
        <shadow val="0"/>
        <u val="none"/>
        <vertAlign val="baseline"/>
        <sz val="11"/>
        <color theme="9" tint="-0.249977111117893"/>
        <name val="Calibri"/>
        <family val="2"/>
        <scheme val="minor"/>
      </font>
      <numFmt numFmtId="30" formatCode="@"/>
    </dxf>
    <dxf>
      <font>
        <b val="0"/>
        <i val="0"/>
        <strike val="0"/>
        <condense val="0"/>
        <extend val="0"/>
        <outline val="0"/>
        <shadow val="0"/>
        <u val="none"/>
        <vertAlign val="baseline"/>
        <sz val="11"/>
        <color theme="9" tint="-0.249977111117893"/>
        <name val="Calibri"/>
        <family val="2"/>
        <scheme val="minor"/>
      </font>
      <numFmt numFmtId="30" formatCode="@"/>
    </dxf>
    <dxf>
      <font>
        <b val="0"/>
        <i val="0"/>
        <strike val="0"/>
        <condense val="0"/>
        <extend val="0"/>
        <outline val="0"/>
        <shadow val="0"/>
        <u val="none"/>
        <vertAlign val="baseline"/>
        <sz val="11"/>
        <color theme="9" tint="-0.249977111117893"/>
        <name val="Calibri"/>
        <family val="2"/>
        <scheme val="minor"/>
      </font>
      <border diagonalUp="0" diagonalDown="0">
        <left style="medium">
          <color indexed="64"/>
        </left>
        <right/>
        <top/>
        <bottom/>
        <vertical/>
        <horizontal/>
      </border>
    </dxf>
    <dxf>
      <border outline="0">
        <top style="thin">
          <color indexed="64"/>
        </top>
        <bottom style="medium">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general" vertical="center" textRotation="0" wrapText="0" indent="0" justifyLastLine="0" shrinkToFit="0" readingOrder="0"/>
      <border diagonalUp="0" diagonalDown="0" outline="0">
        <left style="thin">
          <color indexed="64"/>
        </left>
        <right style="thin">
          <color indexed="64"/>
        </right>
        <top/>
        <bottom/>
      </border>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Do</a:t>
            </a:r>
          </a:p>
          <a:p>
            <a:pPr>
              <a:defRPr/>
            </a:pPr>
            <a:r>
              <a:rPr lang="en-US"/>
              <a:t>higher discounts lead to more reviews</a:t>
            </a:r>
          </a:p>
        </c:rich>
      </c:tx>
      <c:layout>
        <c:manualLayout>
          <c:xMode val="edge"/>
          <c:yMode val="edge"/>
          <c:x val="0.27227853267801572"/>
          <c:y val="3.174603174603174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smoothMarker"/>
        <c:varyColors val="0"/>
        <c:ser>
          <c:idx val="0"/>
          <c:order val="0"/>
          <c:tx>
            <c:strRef>
              <c:f>'Excel_jumia_dataset - Martin'!$G$1</c:f>
              <c:strCache>
                <c:ptCount val="1"/>
                <c:pt idx="0">
                  <c:v>Review</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'Excel_jumia_dataset - Martin'!$F$2:$F$114</c:f>
              <c:numCache>
                <c:formatCode>0%</c:formatCode>
                <c:ptCount val="24"/>
                <c:pt idx="0">
                  <c:v>0.51</c:v>
                </c:pt>
                <c:pt idx="1">
                  <c:v>0.46</c:v>
                </c:pt>
                <c:pt idx="2">
                  <c:v>0.49</c:v>
                </c:pt>
                <c:pt idx="3">
                  <c:v>0.4</c:v>
                </c:pt>
                <c:pt idx="4">
                  <c:v>0.53</c:v>
                </c:pt>
                <c:pt idx="5">
                  <c:v>0.49</c:v>
                </c:pt>
                <c:pt idx="6">
                  <c:v>0.21</c:v>
                </c:pt>
                <c:pt idx="7">
                  <c:v>0.26</c:v>
                </c:pt>
                <c:pt idx="8">
                  <c:v>0.55000000000000004</c:v>
                </c:pt>
                <c:pt idx="9">
                  <c:v>0.47</c:v>
                </c:pt>
                <c:pt idx="10">
                  <c:v>0.37</c:v>
                </c:pt>
                <c:pt idx="11">
                  <c:v>0.34</c:v>
                </c:pt>
                <c:pt idx="12">
                  <c:v>0.34</c:v>
                </c:pt>
                <c:pt idx="13">
                  <c:v>0.27</c:v>
                </c:pt>
                <c:pt idx="14">
                  <c:v>0.25</c:v>
                </c:pt>
                <c:pt idx="15">
                  <c:v>0.24</c:v>
                </c:pt>
                <c:pt idx="16">
                  <c:v>0.19</c:v>
                </c:pt>
                <c:pt idx="17">
                  <c:v>0.49</c:v>
                </c:pt>
                <c:pt idx="18">
                  <c:v>0.35</c:v>
                </c:pt>
                <c:pt idx="19">
                  <c:v>0.38</c:v>
                </c:pt>
                <c:pt idx="20">
                  <c:v>0.42</c:v>
                </c:pt>
                <c:pt idx="21">
                  <c:v>0.27</c:v>
                </c:pt>
                <c:pt idx="22">
                  <c:v>0.38</c:v>
                </c:pt>
              </c:numCache>
            </c:numRef>
          </c:xVal>
          <c:yVal>
            <c:numRef>
              <c:f>'Excel_jumia_dataset - Martin'!$G$2:$G$114</c:f>
              <c:numCache>
                <c:formatCode>General</c:formatCode>
                <c:ptCount val="24"/>
                <c:pt idx="0">
                  <c:v>-2</c:v>
                </c:pt>
                <c:pt idx="1">
                  <c:v>-2</c:v>
                </c:pt>
                <c:pt idx="2">
                  <c:v>-3</c:v>
                </c:pt>
                <c:pt idx="3">
                  <c:v>-1</c:v>
                </c:pt>
                <c:pt idx="4">
                  <c:v>-2</c:v>
                </c:pt>
                <c:pt idx="5">
                  <c:v>-1</c:v>
                </c:pt>
                <c:pt idx="6">
                  <c:v>-1</c:v>
                </c:pt>
                <c:pt idx="7">
                  <c:v>-5</c:v>
                </c:pt>
                <c:pt idx="8">
                  <c:v>-5</c:v>
                </c:pt>
                <c:pt idx="9">
                  <c:v>-12</c:v>
                </c:pt>
                <c:pt idx="10">
                  <c:v>-7</c:v>
                </c:pt>
                <c:pt idx="11">
                  <c:v>-39</c:v>
                </c:pt>
                <c:pt idx="12">
                  <c:v>-12</c:v>
                </c:pt>
                <c:pt idx="13">
                  <c:v>-20</c:v>
                </c:pt>
                <c:pt idx="14">
                  <c:v>-24</c:v>
                </c:pt>
                <c:pt idx="15">
                  <c:v>-55</c:v>
                </c:pt>
                <c:pt idx="16">
                  <c:v>-5</c:v>
                </c:pt>
                <c:pt idx="17">
                  <c:v>-44</c:v>
                </c:pt>
                <c:pt idx="18">
                  <c:v>-49</c:v>
                </c:pt>
                <c:pt idx="19">
                  <c:v>-2</c:v>
                </c:pt>
                <c:pt idx="20">
                  <c:v>-6</c:v>
                </c:pt>
                <c:pt idx="21">
                  <c:v>-32</c:v>
                </c:pt>
                <c:pt idx="22">
                  <c:v>-2</c:v>
                </c:pt>
              </c:numCache>
            </c:numRef>
          </c:yVal>
          <c:smooth val="1"/>
          <c:extLst>
            <c:ext xmlns:c16="http://schemas.microsoft.com/office/drawing/2014/chart" uri="{C3380CC4-5D6E-409C-BE32-E72D297353CC}">
              <c16:uniqueId val="{00000000-2EBF-774F-BFB7-E65513F90B4C}"/>
            </c:ext>
          </c:extLst>
        </c:ser>
        <c:dLbls>
          <c:showLegendKey val="0"/>
          <c:showVal val="0"/>
          <c:showCatName val="0"/>
          <c:showSerName val="0"/>
          <c:showPercent val="0"/>
          <c:showBubbleSize val="0"/>
        </c:dLbls>
        <c:axId val="630459280"/>
        <c:axId val="1039537504"/>
      </c:scatterChart>
      <c:valAx>
        <c:axId val="63045928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9537504"/>
        <c:crosses val="autoZero"/>
        <c:crossBetween val="midCat"/>
      </c:valAx>
      <c:valAx>
        <c:axId val="1039537504"/>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04592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101600</xdr:colOff>
      <xdr:row>10</xdr:row>
      <xdr:rowOff>177800</xdr:rowOff>
    </xdr:from>
    <xdr:to>
      <xdr:col>3</xdr:col>
      <xdr:colOff>495300</xdr:colOff>
      <xdr:row>24</xdr:row>
      <xdr:rowOff>139700</xdr:rowOff>
    </xdr:to>
    <xdr:graphicFrame macro="">
      <xdr:nvGraphicFramePr>
        <xdr:cNvPr id="2" name="Chart 1">
          <a:extLst>
            <a:ext uri="{FF2B5EF4-FFF2-40B4-BE49-F238E27FC236}">
              <a16:creationId xmlns:a16="http://schemas.microsoft.com/office/drawing/2014/main" id="{3A9FA78D-4DFA-954F-8D43-803E4B91C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101600</xdr:colOff>
      <xdr:row>26</xdr:row>
      <xdr:rowOff>152400</xdr:rowOff>
    </xdr:from>
    <xdr:to>
      <xdr:col>4</xdr:col>
      <xdr:colOff>774700</xdr:colOff>
      <xdr:row>39</xdr:row>
      <xdr:rowOff>104769</xdr:rowOff>
    </xdr:to>
    <mc:AlternateContent xmlns:mc="http://schemas.openxmlformats.org/markup-compatibility/2006" xmlns:sle15="http://schemas.microsoft.com/office/drawing/2012/slicer">
      <mc:Choice Requires="sle15">
        <xdr:graphicFrame macro="">
          <xdr:nvGraphicFramePr>
            <xdr:cNvPr id="3" name="Category - Discount">
              <a:extLst>
                <a:ext uri="{FF2B5EF4-FFF2-40B4-BE49-F238E27FC236}">
                  <a16:creationId xmlns:a16="http://schemas.microsoft.com/office/drawing/2014/main" id="{4CA42F45-1A74-9045-A9B0-0DE3DD4ED714}"/>
                </a:ext>
              </a:extLst>
            </xdr:cNvPr>
            <xdr:cNvGraphicFramePr/>
          </xdr:nvGraphicFramePr>
          <xdr:xfrm>
            <a:off x="0" y="0"/>
            <a:ext cx="0" cy="0"/>
          </xdr:xfrm>
          <a:graphic>
            <a:graphicData uri="http://schemas.microsoft.com/office/drawing/2010/slicer">
              <sle:slicer xmlns:sle="http://schemas.microsoft.com/office/drawing/2010/slicer" name="Category - Discount"/>
            </a:graphicData>
          </a:graphic>
        </xdr:graphicFrame>
      </mc:Choice>
      <mc:Fallback xmlns="">
        <xdr:sp macro="" textlink="">
          <xdr:nvSpPr>
            <xdr:cNvPr id="0" name=""/>
            <xdr:cNvSpPr>
              <a:spLocks noTextEdit="1"/>
            </xdr:cNvSpPr>
          </xdr:nvSpPr>
          <xdr:spPr>
            <a:xfrm>
              <a:off x="3302000" y="51054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787400</xdr:colOff>
      <xdr:row>26</xdr:row>
      <xdr:rowOff>177800</xdr:rowOff>
    </xdr:from>
    <xdr:to>
      <xdr:col>2</xdr:col>
      <xdr:colOff>685800</xdr:colOff>
      <xdr:row>39</xdr:row>
      <xdr:rowOff>130169</xdr:rowOff>
    </xdr:to>
    <mc:AlternateContent xmlns:mc="http://schemas.openxmlformats.org/markup-compatibility/2006" xmlns:sle15="http://schemas.microsoft.com/office/drawing/2012/slicer">
      <mc:Choice Requires="sle15">
        <xdr:graphicFrame macro="">
          <xdr:nvGraphicFramePr>
            <xdr:cNvPr id="4" name="Category 1">
              <a:extLst>
                <a:ext uri="{FF2B5EF4-FFF2-40B4-BE49-F238E27FC236}">
                  <a16:creationId xmlns:a16="http://schemas.microsoft.com/office/drawing/2014/main" id="{0AEC5E30-915E-BF4E-85F5-B3AE0F2DB6A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87400" y="51308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4</xdr:col>
      <xdr:colOff>342900</xdr:colOff>
      <xdr:row>170</xdr:row>
      <xdr:rowOff>100189</xdr:rowOff>
    </xdr:from>
    <xdr:to>
      <xdr:col>6</xdr:col>
      <xdr:colOff>26811</xdr:colOff>
      <xdr:row>182</xdr:row>
      <xdr:rowOff>158391</xdr:rowOff>
    </xdr:to>
    <mc:AlternateContent xmlns:mc="http://schemas.openxmlformats.org/markup-compatibility/2006" xmlns:sle15="http://schemas.microsoft.com/office/drawing/2012/slicer">
      <mc:Choice Requires="sle15">
        <xdr:graphicFrame macro="">
          <xdr:nvGraphicFramePr>
            <xdr:cNvPr id="4" name="Category">
              <a:extLst>
                <a:ext uri="{FF2B5EF4-FFF2-40B4-BE49-F238E27FC236}">
                  <a16:creationId xmlns:a16="http://schemas.microsoft.com/office/drawing/2014/main" id="{BC9756AD-9CB3-9E47-B9EE-769E2E08E85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232900" y="171323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86.322726851853" createdVersion="6" refreshedVersion="6" minRefreshableVersion="3" recordCount="114" xr:uid="{123D2779-A29D-D24D-8C96-94B98BDDE2CA}">
  <cacheSource type="worksheet">
    <worksheetSource ref="A1:R1048576" sheet="Excel_jumia_dataset - Martin"/>
  </cacheSource>
  <cacheFields count="18">
    <cacheField name="Product" numFmtId="0">
      <sharedItems containsBlank="1"/>
    </cacheField>
    <cacheField name="Curr" numFmtId="0">
      <sharedItems containsBlank="1"/>
    </cacheField>
    <cacheField name="Current Price" numFmtId="0">
      <sharedItems containsBlank="1" containsMixedTypes="1" containsNumber="1" containsInteger="1" minValue="38" maxValue="3750"/>
    </cacheField>
    <cacheField name="old" numFmtId="0">
      <sharedItems containsBlank="1"/>
    </cacheField>
    <cacheField name="old price" numFmtId="0">
      <sharedItems containsBlank="1" containsMixedTypes="1" containsNumber="1" containsInteger="1" minValue="80" maxValue="6143"/>
    </cacheField>
    <cacheField name="Discount" numFmtId="0">
      <sharedItems containsString="0" containsBlank="1" containsNumber="1" minValue="0.01" maxValue="0.64" count="47">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m/>
      </sharedItems>
    </cacheField>
    <cacheField name="Review" numFmtId="0">
      <sharedItems containsString="0" containsBlank="1" containsNumber="1" containsInteger="1" minValue="-69" maxValue="-1"/>
    </cacheField>
    <cacheField name="Ratingd" numFmtId="0">
      <sharedItems containsBlank="1"/>
    </cacheField>
    <cacheField name="Ratings" numFmtId="0">
      <sharedItems containsBlank="1" containsMixedTypes="1" containsNumber="1" minValue="2" maxValue="5"/>
    </cacheField>
    <cacheField name="Absolute discount" numFmtId="0">
      <sharedItems containsBlank="1" containsMixedTypes="1" containsNumber="1" containsInteger="1" minValue="24" maxValue="2585"/>
    </cacheField>
    <cacheField name="Category" numFmtId="0">
      <sharedItems containsBlank="1" count="5">
        <s v="Excellent"/>
        <s v="Average"/>
        <e v="#VALUE!"/>
        <s v="Poor"/>
        <m/>
      </sharedItems>
    </cacheField>
    <cacheField name="Category - Discount" numFmtId="0">
      <sharedItems containsBlank="1" containsMixedTypes="1" containsNumber="1" minValue="0.35985533453887886" maxValue="0.9873617693522907"/>
    </cacheField>
    <cacheField name="Category - Discount2" numFmtId="0">
      <sharedItems containsBlank="1"/>
    </cacheField>
    <cacheField name="average current price" numFmtId="0">
      <sharedItems containsString="0" containsBlank="1" containsNumber="1" minValue="1181.3693693693695" maxValue="1181.3693693693695"/>
    </cacheField>
    <cacheField name="average old price" numFmtId="0">
      <sharedItems containsString="0" containsBlank="1" containsNumber="1" minValue="1803.099099099099" maxValue="1803.099099099099"/>
    </cacheField>
    <cacheField name="average discount price" numFmtId="2">
      <sharedItems containsBlank="1" containsMixedTypes="1" containsNumber="1" minValue="0.4626601115129596" maxValue="0.77594604712132831"/>
    </cacheField>
    <cacheField name="most expensive based on the current price" numFmtId="0">
      <sharedItems containsString="0" containsBlank="1" containsNumber="1" containsInteger="1" minValue="169" maxValue="3750"/>
    </cacheField>
    <cacheField name="least expensive based on the current price" numFmtId="0">
      <sharedItems containsString="0" containsBlank="1" containsNumber="1" containsInteger="1" minValue="38" maxValue="16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86.351750810187" createdVersion="6" refreshedVersion="6" minRefreshableVersion="3" recordCount="115" xr:uid="{05D60BCD-E5E5-544C-B5A8-4BADD0FF678A}">
  <cacheSource type="worksheet">
    <worksheetSource ref="A1:R1048576" sheet="Excel_jumia_ - Product Perfoma"/>
  </cacheSource>
  <cacheFields count="18">
    <cacheField name="Product" numFmtId="0">
      <sharedItems containsBlank="1"/>
    </cacheField>
    <cacheField name="Curr" numFmtId="0">
      <sharedItems containsBlank="1"/>
    </cacheField>
    <cacheField name="Current Price" numFmtId="0">
      <sharedItems containsString="0" containsBlank="1" containsNumber="1" containsInteger="1" minValue="38" maxValue="3750"/>
    </cacheField>
    <cacheField name="old" numFmtId="0">
      <sharedItems containsBlank="1"/>
    </cacheField>
    <cacheField name="old price" numFmtId="0">
      <sharedItems containsString="0" containsBlank="1" containsNumber="1" containsInteger="1" minValue="80" maxValue="6143"/>
    </cacheField>
    <cacheField name="Discount" numFmtId="0">
      <sharedItems containsString="0" containsBlank="1" containsNumber="1" minValue="0.01" maxValue="0.64"/>
    </cacheField>
    <cacheField name="Review" numFmtId="0">
      <sharedItems containsString="0" containsBlank="1" containsNumber="1" containsInteger="1" minValue="-69" maxValue="-1"/>
    </cacheField>
    <cacheField name="Ratingd" numFmtId="0">
      <sharedItems containsBlank="1"/>
    </cacheField>
    <cacheField name="Ratings" numFmtId="0">
      <sharedItems containsBlank="1" containsMixedTypes="1" containsNumber="1" minValue="2" maxValue="5" count="24">
        <n v="4.5"/>
        <e v="#VALUE!"/>
        <n v="4"/>
        <n v="2.5"/>
        <n v="3.8"/>
        <n v="4.5999999999999996"/>
        <n v="4.0999999999999996"/>
        <n v="5"/>
        <n v="2.9"/>
        <n v="4.4000000000000004"/>
        <n v="4.8"/>
        <n v="4.7"/>
        <n v="3"/>
        <n v="4.2"/>
        <n v="4.3"/>
        <n v="2.2999999999999998"/>
        <n v="2.2000000000000002"/>
        <n v="2.6"/>
        <n v="2.1"/>
        <n v="2.8"/>
        <n v="2"/>
        <n v="2.7"/>
        <n v="3.3"/>
        <m/>
      </sharedItems>
    </cacheField>
    <cacheField name="Absolute discount" numFmtId="0">
      <sharedItems containsString="0" containsBlank="1" containsNumber="1" containsInteger="1" minValue="24" maxValue="2585"/>
    </cacheField>
    <cacheField name="Category" numFmtId="0">
      <sharedItems containsBlank="1" count="5">
        <s v="Excellent"/>
        <e v="#VALUE!"/>
        <s v="Average"/>
        <s v="Poor"/>
        <m/>
      </sharedItems>
    </cacheField>
    <cacheField name="Category - Discount %" numFmtId="0">
      <sharedItems containsString="0" containsBlank="1" containsNumber="1" minValue="0.35985533453887886" maxValue="0.9873617693522907" count="107">
        <n v="0.61875000000000002"/>
        <n v="0.9873617693522907"/>
        <n v="0.98294144767173808"/>
        <n v="0.98276820455808778"/>
        <n v="0.98057680988816953"/>
        <n v="0.97704532077692763"/>
        <n v="0.97586815773984692"/>
        <n v="0.97531687791861243"/>
        <n v="0.9733155436957972"/>
        <n v="0.96275708727070597"/>
        <n v="0.95863746958637475"/>
        <n v="0.91927710843373489"/>
        <n v="0.9115501519756839"/>
        <n v="0.88777777777777778"/>
        <n v="0.86799999999999999"/>
        <n v="0.86403766921718661"/>
        <n v="0.8628605061801059"/>
        <n v="0.81818181818181823"/>
        <n v="0.81075966477426331"/>
        <n v="0.79979979979979976"/>
        <n v="0.79337401918047079"/>
        <n v="0.78456591639871387"/>
        <n v="0.77864583333333337"/>
        <n v="0.76744186046511631"/>
        <n v="0.76484168865435354"/>
        <n v="0.7615384615384615"/>
        <n v="0.75230927129661307"/>
        <n v="0.73853989813242782"/>
        <n v="0.73464566929133857"/>
        <n v="0.73360503890329753"/>
        <n v="0.73207547169811316"/>
        <n v="0.70987654320987659"/>
        <n v="0.7034813925570228"/>
        <n v="0.67839195979899503"/>
        <n v="0.67226890756302526"/>
        <n v="0.66666666666666663"/>
        <n v="0.66206102475532524"/>
        <n v="0.66"/>
        <n v="0.65771812080536918"/>
        <n v="0.65745856353591159"/>
        <n v="0.6518518518518519"/>
        <n v="0.6491499227202473"/>
        <n v="0.63755458515283847"/>
        <n v="0.63225290116046418"/>
        <n v="0.62531645569620253"/>
        <n v="0.62295081967213117"/>
        <n v="0.61538461538461542"/>
        <n v="0.61507492730932678"/>
        <n v="0.61045091974605237"/>
        <n v="0.60223048327137552"/>
        <n v="0.59493670886075944"/>
        <n v="0.59298780487804881"/>
        <n v="0.58677685950413228"/>
        <n v="0.58255813953488367"/>
        <n v="0.57763975155279501"/>
        <n v="0.57630736392742798"/>
        <n v="0.57547169811320753"/>
        <n v="0.57499999999999996"/>
        <n v="0.57308970099667778"/>
        <n v="0.57272727272727275"/>
        <n v="0.56618464961067849"/>
        <n v="0.55444444444444441"/>
        <n v="0.54626152270399453"/>
        <n v="0.54575523704520401"/>
        <n v="0.54571428571428571"/>
        <n v="0.54166666666666663"/>
        <n v="0.540700318326512"/>
        <n v="0.53921568627450978"/>
        <n v="0.53362734288864389"/>
        <n v="0.53333333333333333"/>
        <n v="0.53198653198653201"/>
        <n v="0.5291347851677457"/>
        <n v="0.52812499999999996"/>
        <n v="0.52752752752752752"/>
        <n v="0.5254350736278447"/>
        <n v="0.52500000000000002"/>
        <n v="0.52148997134670483"/>
        <n v="0.52047654504839913"/>
        <n v="0.52"/>
        <n v="0.51111111111111107"/>
        <n v="0.51028806584362141"/>
        <n v="0.51024208566108009"/>
        <n v="0.51020408163265307"/>
        <n v="0.51014492753623186"/>
        <n v="0.5100931677018633"/>
        <n v="0.51004636785162283"/>
        <n v="0.509947116595316"/>
        <n v="0.50989583333333333"/>
        <n v="0.50989151244416087"/>
        <n v="0.50987841945288759"/>
        <n v="0.50973654066437568"/>
        <n v="0.50762970498474058"/>
        <n v="0.5"/>
        <n v="0.4995"/>
        <n v="0.49833333333333335"/>
        <n v="0.4853801169590643"/>
        <n v="0.48429319371727747"/>
        <n v="0.47794117647058826"/>
        <n v="0.47499999999999998"/>
        <n v="0.46450304259634889"/>
        <n v="0.45511111111111113"/>
        <n v="0.45500000000000002"/>
        <n v="0.45"/>
        <n v="0.4453125"/>
        <n v="0.39484126984126983"/>
        <n v="0.35985533453887886"/>
        <m/>
      </sharedItems>
    </cacheField>
    <cacheField name="Category - Discount" numFmtId="0">
      <sharedItems containsBlank="1"/>
    </cacheField>
    <cacheField name="average old price" numFmtId="0">
      <sharedItems containsString="0" containsBlank="1" containsNumber="1" minValue="1602.9104477611941" maxValue="1602.9104477611941"/>
    </cacheField>
    <cacheField name="average discount price" numFmtId="2">
      <sharedItems containsString="0" containsBlank="1" containsNumber="1" minValue="0.35985533453887886" maxValue="0.97755013543024183"/>
    </cacheField>
    <cacheField name="most expensive based on the current price" numFmtId="0">
      <sharedItems containsString="0" containsBlank="1" containsNumber="1" containsInteger="1" minValue="199" maxValue="3750"/>
    </cacheField>
    <cacheField name="least expensive based on the current price" numFmtId="0">
      <sharedItems containsString="0" containsBlank="1" containsNumber="1" containsInteger="1" minValue="38" maxValue="199"/>
    </cacheField>
    <cacheField name="Do_x000a_higher discounts lead to more reviews" numFmtId="0">
      <sharedItems containsBlank="1" containsMixedTypes="1" containsNumber="1" minValue="-0.53240545264822692"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
  <r>
    <s v="115  Piece Set Of Multifunctional Precision Screwdrivers"/>
    <s v="KSh"/>
    <n v="950"/>
    <s v="KSh"/>
    <n v="1525"/>
    <x v="0"/>
    <n v="-2"/>
    <s v="4.5 out of 5"/>
    <n v="4.5"/>
    <n v="575"/>
    <x v="0"/>
    <n v="0.62295081967213117"/>
    <s v="High Discount"/>
    <n v="1181.3693693693695"/>
    <n v="1803.099099099099"/>
    <n v="0.67003207934615594"/>
    <n v="3750"/>
    <n v="38"/>
  </r>
  <r>
    <s v="Metal Decorative Hooks Key Hangers Entryway Wall Hooks Towel Hooks - Home"/>
    <s v="KSh"/>
    <n v="527"/>
    <s v="KSh"/>
    <n v="999"/>
    <x v="1"/>
    <n v="-14"/>
    <s v="4.1 out of 5"/>
    <n v="4.0999999999999996"/>
    <n v="472"/>
    <x v="1"/>
    <n v="0.52752752752752752"/>
    <s v="High Discount"/>
    <m/>
    <m/>
    <n v="0.66151104634969626"/>
    <n v="3750"/>
    <n v="38"/>
  </r>
  <r>
    <s v="Portable Mini Cordless Car Vacuum Cleaner - Blue"/>
    <s v="KSh"/>
    <n v="2199"/>
    <s v="KSh"/>
    <n v="2923"/>
    <x v="2"/>
    <n v="-24"/>
    <s v="4.6 out of 5"/>
    <n v="4.5999999999999996"/>
    <n v="724"/>
    <x v="0"/>
    <n v="0.75230927129661307"/>
    <s v="High Discount"/>
    <m/>
    <m/>
    <n v="0.69176352104661543"/>
    <n v="3750"/>
    <n v="38"/>
  </r>
  <r>
    <s v="Weighing Scale Digital Bathroom Body Fat Scale USB-Black"/>
    <s v="KSh"/>
    <n v="1580"/>
    <s v="KSh"/>
    <n v="2499"/>
    <x v="3"/>
    <n v="-7"/>
    <s v="4.7 out of 5"/>
    <n v="4.7"/>
    <n v="919"/>
    <x v="0"/>
    <n v="0.63225290116046418"/>
    <s v="High Discount"/>
    <m/>
    <m/>
    <n v="0.6815069353469918"/>
    <n v="3750"/>
    <n v="38"/>
  </r>
  <r>
    <s v="Portable Home Small Air Humidifier 3-Speed Fan - Green"/>
    <s v="KSh"/>
    <n v="1740"/>
    <s v="KSh"/>
    <n v="2356"/>
    <x v="4"/>
    <n v="-5"/>
    <s v="4.8 out of 5"/>
    <n v="4.8"/>
    <n v="616"/>
    <x v="0"/>
    <n v="0.73853989813242782"/>
    <s v="High Discount"/>
    <m/>
    <m/>
    <n v="0.67051587225508835"/>
    <n v="3750"/>
    <n v="38"/>
  </r>
  <r>
    <s v="220V 60W Electric Soldering Iron Kits With Tools, Tips, And Multimeter"/>
    <s v="KSh"/>
    <n v="2999"/>
    <s v="KSh"/>
    <n v="3290"/>
    <x v="5"/>
    <n v="-15"/>
    <s v="4 out of 5"/>
    <n v="4"/>
    <n v="291"/>
    <x v="1"/>
    <n v="0.9115501519756839"/>
    <s v="High Discount"/>
    <m/>
    <m/>
    <n v="0.6531845657442501"/>
    <n v="3750"/>
    <n v="38"/>
  </r>
  <r>
    <s v="137 Pieces Cake Decorating Tool Set Baking Supplies"/>
    <s v="KSh"/>
    <n v="2319"/>
    <s v="KSh"/>
    <n v="3032"/>
    <x v="6"/>
    <n v="-55"/>
    <s v="4.6 out of 5"/>
    <n v="4.5999999999999996"/>
    <n v="713"/>
    <x v="0"/>
    <n v="0.76484168865435354"/>
    <s v="High Discount"/>
    <m/>
    <m/>
    <n v="0.62659776080951035"/>
    <n v="3750"/>
    <n v="38"/>
  </r>
  <r>
    <s v="Desk Foldable Fan Adjustable Fan Strong Wind 3 Gear Usb"/>
    <s v="KSh"/>
    <n v="988"/>
    <s v="KSh"/>
    <n v="1580"/>
    <x v="3"/>
    <n v="-2"/>
    <s v="4 out of 5"/>
    <n v="4"/>
    <n v="592"/>
    <x v="1"/>
    <n v="0.62531645569620253"/>
    <s v="High Discount"/>
    <m/>
    <m/>
    <n v="0.59554647506558922"/>
    <n v="3750"/>
    <n v="38"/>
  </r>
  <r>
    <s v="LASA FOLDING TABLE SERVING STAND"/>
    <s v="KSh"/>
    <n v="1274"/>
    <s v="KSh"/>
    <n v="2800"/>
    <x v="7"/>
    <n v="-5"/>
    <s v="4.8 out of 5"/>
    <n v="4.8"/>
    <n v="1526"/>
    <x v="0"/>
    <n v="0.45500000000000002"/>
    <s v="High Discount"/>
    <m/>
    <m/>
    <n v="0.58625205406230751"/>
    <n v="3750"/>
    <n v="38"/>
  </r>
  <r>
    <s v="13 In 1 Home Repair Tools Box Kit Set"/>
    <s v="KSh"/>
    <n v="1600"/>
    <s v="KSh"/>
    <n v="2929"/>
    <x v="8"/>
    <n v="-5"/>
    <s v="3.8 out of 5"/>
    <n v="3.8"/>
    <n v="1329"/>
    <x v="1"/>
    <n v="0.54626152270399453"/>
    <s v="High Discount"/>
    <m/>
    <m/>
    <n v="0.59235728923956488"/>
    <n v="3750"/>
    <n v="38"/>
  </r>
  <r>
    <s v="Genebre 115 In 1 Screwdriver Repairing Tool Set For IPhone Cellphone Hand Tool"/>
    <s v="KSh"/>
    <n v="799"/>
    <s v="KSh"/>
    <n v="999"/>
    <x v="9"/>
    <n v="-12"/>
    <s v="4.1 out of 5"/>
    <n v="4.0999999999999996"/>
    <n v="200"/>
    <x v="1"/>
    <n v="0.79979979979979976"/>
    <s v="High Discount"/>
    <m/>
    <m/>
    <n v="0.621745971691817"/>
    <n v="3750"/>
    <n v="38"/>
  </r>
  <r>
    <s v="100 Pcs Crochet Hook Tool Set Knitting Hook Set With Box"/>
    <s v="KSh"/>
    <n v="990"/>
    <s v="KSh"/>
    <n v="1500"/>
    <x v="10"/>
    <n v="-39"/>
    <s v="4.7 out of 5"/>
    <n v="4.7"/>
    <n v="510"/>
    <x v="0"/>
    <n v="0.66"/>
    <s v="High Discount"/>
    <m/>
    <m/>
    <n v="0.58928262782347707"/>
    <n v="3750"/>
    <n v="38"/>
  </r>
  <r>
    <s v="40cm Gold DIY Acrylic Wall Sticker Clock"/>
    <s v="KSh"/>
    <n v="552"/>
    <s v="KSh"/>
    <n v="1035"/>
    <x v="1"/>
    <n v="-12"/>
    <s v="4.8 out of 5"/>
    <n v="4.8"/>
    <n v="483"/>
    <x v="0"/>
    <n v="0.53333333333333333"/>
    <s v="High Discount"/>
    <m/>
    <m/>
    <n v="0.56872707226792141"/>
    <n v="3750"/>
    <n v="38"/>
  </r>
  <r>
    <s v="LASA Digital Thermometer And Hydrometer"/>
    <s v="KSh"/>
    <n v="501"/>
    <s v="KSh"/>
    <n v="860"/>
    <x v="11"/>
    <n v="-6"/>
    <s v="4.5 out of 5"/>
    <n v="4.5"/>
    <n v="359"/>
    <x v="0"/>
    <n v="0.58255813953488367"/>
    <s v="High Discount"/>
    <m/>
    <m/>
    <n v="0.57365000762563934"/>
    <n v="3750"/>
    <n v="38"/>
  </r>
  <r>
    <s v="Multifunction Laser Level With Adjustment Tripod"/>
    <s v="KSh"/>
    <n v="1680"/>
    <s v="KSh"/>
    <n v="2499"/>
    <x v="12"/>
    <n v="-9"/>
    <s v="4.2 out of 5"/>
    <n v="4.2"/>
    <n v="819"/>
    <x v="1"/>
    <n v="0.67226890756302526"/>
    <s v="High Discount"/>
    <m/>
    <m/>
    <n v="0.58134930899419135"/>
    <n v="3750"/>
    <n v="38"/>
  </r>
  <r>
    <s v="Anti-Skid Absorbent Insulation Coaster  For Home Office"/>
    <s v="KSh"/>
    <n v="332"/>
    <s v="KSh"/>
    <n v="684"/>
    <x v="13"/>
    <n v="-2"/>
    <s v="5 out of 5"/>
    <n v="5"/>
    <n v="352"/>
    <x v="0"/>
    <n v="0.4853801169590643"/>
    <s v="High Discount"/>
    <m/>
    <m/>
    <n v="0.59192408153886822"/>
    <n v="3750"/>
    <n v="38"/>
  </r>
  <r>
    <s v="Peacock  Throw Pillow Cushion Case For Home Car"/>
    <s v="KSh"/>
    <n v="195"/>
    <s v="KSh"/>
    <n v="360"/>
    <x v="14"/>
    <n v="-2"/>
    <s v="5 out of 5"/>
    <n v="5"/>
    <n v="165"/>
    <x v="0"/>
    <n v="0.54166666666666663"/>
    <s v="High Discount"/>
    <m/>
    <m/>
    <n v="0.58856085866687335"/>
    <n v="3750"/>
    <n v="38"/>
  </r>
  <r>
    <s v="LASA Aluminum Folding Truck Hand Cart - 68kg Max"/>
    <s v="KSh"/>
    <n v="2025"/>
    <s v="KSh"/>
    <n v="3971"/>
    <x v="15"/>
    <n v="-3"/>
    <s v="5 out of 5"/>
    <n v="5"/>
    <n v="1946"/>
    <x v="0"/>
    <n v="0.509947116595316"/>
    <s v="High Discount"/>
    <m/>
    <m/>
    <n v="0.60050344267282674"/>
    <n v="3750"/>
    <n v="38"/>
  </r>
  <r>
    <s v="LED Wall Digital Alarm Clock Study Home 12 / 24H Clock Calendar"/>
    <s v="KSh"/>
    <n v="2999"/>
    <s v="KSh"/>
    <n v="3699"/>
    <x v="16"/>
    <n v="-5"/>
    <s v="4.6 out of 5"/>
    <n v="4.5999999999999996"/>
    <n v="700"/>
    <x v="0"/>
    <n v="0.81075966477426331"/>
    <s v="High Discount"/>
    <m/>
    <m/>
    <n v="0.63475174284910496"/>
    <n v="3750"/>
    <n v="38"/>
  </r>
  <r>
    <s v="3D Waterproof EVA Plastic Shower Curtain 1.8*2Mtrs"/>
    <s v="KSh"/>
    <n v="998"/>
    <s v="KSh"/>
    <n v="1966"/>
    <x v="15"/>
    <n v="-44"/>
    <s v="4.6 out of 5"/>
    <n v="4.5999999999999996"/>
    <n v="968"/>
    <x v="0"/>
    <n v="0.50762970498474058"/>
    <s v="High Discount"/>
    <m/>
    <m/>
    <n v="0.62004422007407511"/>
    <n v="3750"/>
    <n v="38"/>
  </r>
  <r>
    <s v="3PCS Single Head Knitting Crochet Sweater Needle Set"/>
    <s v="KSh"/>
    <n v="38"/>
    <s v="KSh"/>
    <n v="80"/>
    <x v="17"/>
    <n v="-13"/>
    <s v="3.3 out of 5"/>
    <n v="3.3"/>
    <n v="42"/>
    <x v="1"/>
    <n v="0.47499999999999998"/>
    <s v="High Discount"/>
    <m/>
    <m/>
    <n v="0.64180551869321745"/>
    <n v="3750"/>
    <n v="38"/>
  </r>
  <r>
    <s v="4pcs Bathroom/Kitchen Towel Rack,Roll Paper Holder,Towel Bars,Hook"/>
    <s v="KSh"/>
    <n v="1860"/>
    <s v="KSh"/>
    <n v="3220"/>
    <x v="11"/>
    <m/>
    <m/>
    <e v="#VALUE!"/>
    <n v="1360"/>
    <x v="2"/>
    <n v="0.57763975155279501"/>
    <s v="High Discount"/>
    <m/>
    <m/>
    <n v="0.64894059494594081"/>
    <n v="3750"/>
    <n v="105"/>
  </r>
  <r>
    <s v="LED Romantic Spaceship Starry Sky Projector,Children's Bedroom Night Light-Blue"/>
    <s v="KSh"/>
    <n v="880"/>
    <s v="KSh"/>
    <n v="1350"/>
    <x v="18"/>
    <n v="-6"/>
    <s v="4 out of 5"/>
    <n v="4"/>
    <n v="470"/>
    <x v="1"/>
    <n v="0.6518518518518519"/>
    <s v="High Discount"/>
    <m/>
    <m/>
    <n v="0.63856875518643885"/>
    <n v="3750"/>
    <n v="105"/>
  </r>
  <r>
    <s v="Foldable Overbed Table/Desk"/>
    <s v="KSh"/>
    <n v="1650"/>
    <s v="KSh"/>
    <n v="2150"/>
    <x v="19"/>
    <n v="-14"/>
    <s v="4.4 out of 5"/>
    <n v="4.4000000000000004"/>
    <n v="500"/>
    <x v="1"/>
    <n v="0.76744186046511631"/>
    <s v="High Discount"/>
    <m/>
    <m/>
    <n v="0.63922056284794082"/>
    <n v="3750"/>
    <n v="105"/>
  </r>
  <r>
    <s v="LASA 3 Tier Bamboo Shoe Bench Storage Shelf"/>
    <s v="KSh"/>
    <n v="2048"/>
    <s v="KSh"/>
    <n v="4500"/>
    <x v="20"/>
    <n v="-7"/>
    <s v="4.3 out of 5"/>
    <n v="4.3"/>
    <n v="2452"/>
    <x v="1"/>
    <n v="0.45511111111111113"/>
    <s v="High Discount"/>
    <m/>
    <m/>
    <n v="0.61189257516811735"/>
    <n v="3750"/>
    <n v="105"/>
  </r>
  <r>
    <s v="Electronic Digital Display Vernier Caliper"/>
    <s v="KSh"/>
    <n v="420"/>
    <s v="KSh"/>
    <n v="647"/>
    <x v="18"/>
    <n v="-49"/>
    <s v="4.6 out of 5"/>
    <n v="4.5999999999999996"/>
    <n v="227"/>
    <x v="0"/>
    <n v="0.6491499227202473"/>
    <s v="High Discount"/>
    <m/>
    <m/>
    <n v="0.64266639301111761"/>
    <n v="3750"/>
    <n v="105"/>
  </r>
  <r>
    <s v="Portable Wardrobe Nonwoven With 3 Hanging Rods And 6 Storage Shelves"/>
    <s v="KSh"/>
    <n v="2880"/>
    <s v="KSh"/>
    <n v="3520"/>
    <x v="21"/>
    <n v="-12"/>
    <s v="3.8 out of 5"/>
    <n v="3.8"/>
    <n v="640"/>
    <x v="1"/>
    <n v="0.81818181818181823"/>
    <s v="High Discount"/>
    <m/>
    <m/>
    <n v="0.65205029480923427"/>
    <n v="3750"/>
    <n v="105"/>
  </r>
  <r>
    <s v="12 Litre Black Insulated Lunch Box"/>
    <s v="KSh"/>
    <n v="1350"/>
    <s v="KSh"/>
    <n v="1990"/>
    <x v="22"/>
    <n v="-13"/>
    <s v="3.8 out of 5"/>
    <n v="3.8"/>
    <n v="640"/>
    <x v="1"/>
    <n v="0.67839195979899503"/>
    <s v="High Discount"/>
    <m/>
    <m/>
    <n v="0.62805570204140726"/>
    <n v="3750"/>
    <n v="105"/>
  </r>
  <r>
    <s v="52 Pieces Cake Decorating Tool Set Gift Kit Baking Supplies"/>
    <s v="KSh"/>
    <n v="1758"/>
    <s v="KSh"/>
    <n v="2499"/>
    <x v="23"/>
    <n v="-20"/>
    <s v="4.1 out of 5"/>
    <n v="4.0999999999999996"/>
    <n v="741"/>
    <x v="1"/>
    <n v="0.7034813925570228"/>
    <s v="High Discount"/>
    <m/>
    <m/>
    <n v="0.60545659539707442"/>
    <n v="3750"/>
    <n v="105"/>
  </r>
  <r>
    <s v="MultiFunctional Storage Rack Multi-layer Bookshelf"/>
    <s v="KSh"/>
    <n v="2200"/>
    <s v="KSh"/>
    <n v="4080"/>
    <x v="14"/>
    <m/>
    <m/>
    <e v="#VALUE!"/>
    <n v="1880"/>
    <x v="2"/>
    <n v="0.53921568627450978"/>
    <s v="High Discount"/>
    <m/>
    <m/>
    <n v="0.5931795300994106"/>
    <n v="3750"/>
    <n v="105"/>
  </r>
  <r>
    <s v="Exfoliate And Exfoliate Face Towel - Black"/>
    <s v="KSh"/>
    <n v="185"/>
    <s v="KSh"/>
    <n v="382"/>
    <x v="24"/>
    <n v="-9"/>
    <s v="4.3 out of 5"/>
    <n v="4.3"/>
    <n v="197"/>
    <x v="1"/>
    <n v="0.48429319371727747"/>
    <s v="High Discount"/>
    <m/>
    <m/>
    <e v="#VALUE!"/>
    <n v="3750"/>
    <n v="105"/>
  </r>
  <r>
    <s v="12 Litre Insulated Lunch Box Grey"/>
    <s v="KSh"/>
    <n v="980"/>
    <s v="KSh"/>
    <n v="1490"/>
    <x v="10"/>
    <n v="-12"/>
    <s v="4.7 out of 5"/>
    <n v="4.7"/>
    <n v="510"/>
    <x v="0"/>
    <n v="0.65771812080536918"/>
    <s v="High Discount"/>
    <m/>
    <m/>
    <e v="#VALUE!"/>
    <n v="3750"/>
    <n v="105"/>
  </r>
  <r>
    <s v="LED Eye Protection  Desk Lamp , Study, Reading, USB Fan - Double Pen Holder"/>
    <s v="KSh"/>
    <n v="1820"/>
    <s v="KSh"/>
    <n v="3490"/>
    <x v="25"/>
    <n v="-9"/>
    <s v="4.3 out of 5"/>
    <n v="4.3"/>
    <n v="1670"/>
    <x v="1"/>
    <n v="0.52148997134670483"/>
    <s v="High Discount"/>
    <m/>
    <m/>
    <e v="#VALUE!"/>
    <n v="3750"/>
    <n v="105"/>
  </r>
  <r>
    <s v="53Pcs/Set Yarn Knitting Crochet Hooks With Bag - Fortune Cat"/>
    <s v="KSh"/>
    <n v="1940"/>
    <s v="KSh"/>
    <n v="2650"/>
    <x v="26"/>
    <n v="-20"/>
    <s v="4.7 out of 5"/>
    <n v="4.7"/>
    <n v="710"/>
    <x v="0"/>
    <n v="0.73207547169811316"/>
    <s v="High Discount"/>
    <m/>
    <m/>
    <e v="#VALUE!"/>
    <n v="3750"/>
    <n v="105"/>
  </r>
  <r>
    <s v="53 Pieces/Set Yarn Knitting Crochet Hooks With Bag - Pansies"/>
    <s v="KSh"/>
    <n v="1980"/>
    <s v="KSh"/>
    <n v="2699"/>
    <x v="26"/>
    <n v="-32"/>
    <s v="4.5 out of 5"/>
    <n v="4.5"/>
    <n v="719"/>
    <x v="0"/>
    <n v="0.73360503890329753"/>
    <s v="High Discount"/>
    <m/>
    <m/>
    <e v="#VALUE!"/>
    <n v="3750"/>
    <n v="105"/>
  </r>
  <r>
    <s v="DIY File Folder, Office Drawer File Holder, Pen Holder, Desktop Storage Rack"/>
    <s v="KSh"/>
    <n v="1620"/>
    <s v="KSh"/>
    <n v="2690"/>
    <x v="27"/>
    <n v="-1"/>
    <s v="5 out of 5"/>
    <n v="5"/>
    <n v="1070"/>
    <x v="0"/>
    <n v="0.60223048327137552"/>
    <s v="High Discount"/>
    <m/>
    <m/>
    <e v="#VALUE!"/>
    <n v="3750"/>
    <n v="105"/>
  </r>
  <r>
    <s v="Classic Black Cat Cotton Hemp Pillow Case For Home Car"/>
    <s v="KSh"/>
    <n v="171"/>
    <s v="KSh"/>
    <n v="360"/>
    <x v="17"/>
    <n v="-2"/>
    <s v="5 out of 5"/>
    <n v="5"/>
    <n v="189"/>
    <x v="0"/>
    <n v="0.47499999999999998"/>
    <s v="High Discount"/>
    <m/>
    <m/>
    <e v="#VALUE!"/>
    <n v="3750"/>
    <n v="105"/>
  </r>
  <r>
    <s v="Punch-free Great Load Bearing Bathroom Storage Rack Wall Shelf-White"/>
    <s v="KSh"/>
    <n v="389"/>
    <s v="KSh"/>
    <n v="656"/>
    <x v="28"/>
    <n v="-36"/>
    <s v="4.3 out of 5"/>
    <n v="4.3"/>
    <n v="267"/>
    <x v="1"/>
    <n v="0.59298780487804881"/>
    <s v="High Discount"/>
    <m/>
    <m/>
    <e v="#VALUE!"/>
    <n v="3750"/>
    <n v="105"/>
  </r>
  <r>
    <s v="1/2/3 Seater Elastic Sofa Cover,Living Room/Home Decor Chair Cover-Grey"/>
    <s v="KSh"/>
    <s v="1,620 - KSh 1,980"/>
    <s v="KSh"/>
    <s v="2,200 - KSh 3,200"/>
    <x v="0"/>
    <n v="-2"/>
    <s v="4.5 out of 5"/>
    <n v="4.5"/>
    <e v="#VALUE!"/>
    <x v="0"/>
    <e v="#VALUE!"/>
    <e v="#VALUE!"/>
    <m/>
    <m/>
    <e v="#VALUE!"/>
    <n v="3750"/>
    <n v="105"/>
  </r>
  <r>
    <s v="LASA Stainless Steel Double Wall Mount Soap Dispenser - 500ml"/>
    <s v="KSh"/>
    <n v="2750"/>
    <s v="KSh"/>
    <n v="4471"/>
    <x v="0"/>
    <m/>
    <m/>
    <e v="#VALUE!"/>
    <n v="1721"/>
    <x v="2"/>
    <n v="0.61507492730932678"/>
    <s v="High Discount"/>
    <m/>
    <m/>
    <n v="0.60834687291456602"/>
    <n v="3750"/>
    <n v="105"/>
  </r>
  <r>
    <s v="4M Float Switch Water Level Controller -Water Tank"/>
    <s v="KSh"/>
    <n v="475"/>
    <s v="KSh"/>
    <n v="931"/>
    <x v="15"/>
    <m/>
    <m/>
    <e v="#VALUE!"/>
    <n v="456"/>
    <x v="2"/>
    <n v="0.51020408163265307"/>
    <s v="High Discount"/>
    <m/>
    <m/>
    <n v="0.58387646652922642"/>
    <n v="3750"/>
    <n v="105"/>
  </r>
  <r>
    <s v="Modern Sofa Throw Pillow Cover-45x45cm-Blue&amp;Red"/>
    <s v="KSh"/>
    <n v="238"/>
    <s v="KSh"/>
    <n v="476"/>
    <x v="29"/>
    <m/>
    <m/>
    <e v="#VALUE!"/>
    <n v="238"/>
    <x v="2"/>
    <n v="0.5"/>
    <s v="High Discount"/>
    <m/>
    <m/>
    <n v="0.58255749449596861"/>
    <n v="3750"/>
    <n v="105"/>
  </r>
  <r>
    <s v="Balloon Insert, Birthday Party Balloon Set, PU Leather"/>
    <s v="KSh"/>
    <n v="610"/>
    <s v="KSh"/>
    <n v="1060"/>
    <x v="11"/>
    <m/>
    <m/>
    <e v="#VALUE!"/>
    <n v="450"/>
    <x v="2"/>
    <n v="0.57547169811320753"/>
    <s v="High Discount"/>
    <m/>
    <m/>
    <n v="0.63556253013784947"/>
    <n v="3750"/>
    <n v="105"/>
  </r>
  <r>
    <s v="Shower Cap Wide Elastic Band Cover Reusable Bashroom Cap"/>
    <s v="KSh"/>
    <n v="2132"/>
    <s v="KSh"/>
    <n v="2169"/>
    <x v="30"/>
    <m/>
    <m/>
    <e v="#VALUE!"/>
    <n v="37"/>
    <x v="2"/>
    <n v="0.98294144767173808"/>
    <s v="High Discount"/>
    <m/>
    <m/>
    <n v="0.65813743405119685"/>
    <n v="3750"/>
    <n v="105"/>
  </r>
  <r>
    <s v="Christmas Elk Fence Yard Lawn Decorations Cute For Holidays"/>
    <s v="KSh"/>
    <n v="999"/>
    <s v="KSh"/>
    <n v="2000"/>
    <x v="29"/>
    <m/>
    <m/>
    <e v="#VALUE!"/>
    <n v="1001"/>
    <x v="2"/>
    <n v="0.4995"/>
    <s v="High Discount"/>
    <m/>
    <m/>
    <n v="0.65706788916498116"/>
    <n v="3750"/>
    <n v="105"/>
  </r>
  <r>
    <s v="60W Hot Melt Glue Sprayer - Efficient And Stable Glue Dispensing"/>
    <s v="KSh"/>
    <n v="1190"/>
    <s v="KSh"/>
    <n v="1785"/>
    <x v="12"/>
    <m/>
    <m/>
    <e v="#VALUE!"/>
    <n v="595"/>
    <x v="2"/>
    <n v="0.66666666666666663"/>
    <s v="High Discount"/>
    <m/>
    <m/>
    <n v="0.66767196792728778"/>
    <n v="3750"/>
    <n v="105"/>
  </r>
  <r>
    <s v="Car Phone Charging Stand"/>
    <s v="KSh"/>
    <n v="671"/>
    <s v="KSh"/>
    <n v="1316"/>
    <x v="15"/>
    <m/>
    <m/>
    <e v="#VALUE!"/>
    <n v="645"/>
    <x v="2"/>
    <n v="0.50987841945288759"/>
    <s v="High Discount"/>
    <m/>
    <m/>
    <n v="0.65520283212481856"/>
    <n v="3750"/>
    <n v="105"/>
  </r>
  <r>
    <s v="2pcs Solar Street Light Flood Light Outdoor"/>
    <s v="KSh"/>
    <n v="1200"/>
    <s v="KSh"/>
    <n v="1950"/>
    <x v="0"/>
    <m/>
    <m/>
    <e v="#VALUE!"/>
    <n v="750"/>
    <x v="2"/>
    <n v="0.61538461538461542"/>
    <s v="High Discount"/>
    <m/>
    <m/>
    <n v="0.65638040163543099"/>
    <n v="3750"/>
    <n v="105"/>
  </r>
  <r>
    <s v="Creative Owl Shape Keychain Black"/>
    <s v="KSh"/>
    <n v="199"/>
    <s v="KSh"/>
    <n v="504"/>
    <x v="31"/>
    <m/>
    <m/>
    <e v="#VALUE!"/>
    <n v="305"/>
    <x v="2"/>
    <n v="0.39484126984126983"/>
    <s v="Medium Discount"/>
    <m/>
    <m/>
    <n v="0.6446589457531583"/>
    <n v="3750"/>
    <n v="105"/>
  </r>
  <r>
    <s v="Brush &amp; Paintbrush Cleaning Tool Pink"/>
    <s v="KSh"/>
    <n v="299"/>
    <s v="KSh"/>
    <n v="600"/>
    <x v="29"/>
    <m/>
    <m/>
    <e v="#VALUE!"/>
    <n v="301"/>
    <x v="2"/>
    <n v="0.49833333333333335"/>
    <s v="High Discount"/>
    <m/>
    <m/>
    <n v="0.6824149901364992"/>
    <n v="3750"/>
    <n v="105"/>
  </r>
  <r>
    <s v="Pen Grips For Kids Pen Grip Posture Correction Tool For Kids"/>
    <s v="KSh"/>
    <n v="1660"/>
    <s v="KSh"/>
    <n v="1699"/>
    <x v="30"/>
    <m/>
    <m/>
    <e v="#VALUE!"/>
    <n v="39"/>
    <x v="2"/>
    <n v="0.97704532077692763"/>
    <s v="High Discount"/>
    <m/>
    <m/>
    <n v="0.67652378643279554"/>
    <n v="3750"/>
    <n v="105"/>
  </r>
  <r>
    <s v="Pilates Cloth Bag Waterproof Durable High Capacity Purple"/>
    <s v="KSh"/>
    <n v="299"/>
    <s v="KSh"/>
    <n v="384"/>
    <x v="32"/>
    <m/>
    <m/>
    <e v="#VALUE!"/>
    <n v="85"/>
    <x v="2"/>
    <n v="0.77864583333333337"/>
    <s v="High Discount"/>
    <m/>
    <m/>
    <n v="0.66440763967980376"/>
    <n v="3750"/>
    <n v="105"/>
  </r>
  <r>
    <s v="Multi-purpose Rice Drainage Basket And Fruit And Vegetable Drainage Sieve"/>
    <s v="KSh"/>
    <n v="1459"/>
    <s v="KSh"/>
    <n v="1499"/>
    <x v="33"/>
    <m/>
    <m/>
    <e v="#VALUE!"/>
    <n v="40"/>
    <x v="2"/>
    <n v="0.9733155436957972"/>
    <s v="High Discount"/>
    <m/>
    <m/>
    <n v="0.62950288515347219"/>
    <n v="3750"/>
    <n v="105"/>
  </r>
  <r>
    <s v="Cute Christmas Fence Garden Decorations For Holiday Home"/>
    <s v="KSh"/>
    <n v="799"/>
    <s v="KSh"/>
    <n v="1343"/>
    <x v="28"/>
    <m/>
    <m/>
    <e v="#VALUE!"/>
    <n v="544"/>
    <x v="2"/>
    <n v="0.59493670886075944"/>
    <s v="High Discount"/>
    <m/>
    <m/>
    <n v="0.57135671363171692"/>
    <n v="3750"/>
    <n v="105"/>
  </r>
  <r>
    <s v="Simple Metal Dog Art Sculpture Decoration For Home Office"/>
    <s v="KSh"/>
    <n v="499"/>
    <s v="KSh"/>
    <n v="900"/>
    <x v="8"/>
    <m/>
    <m/>
    <e v="#VALUE!"/>
    <n v="401"/>
    <x v="2"/>
    <n v="0.55444444444444441"/>
    <s v="High Discount"/>
    <m/>
    <m/>
    <n v="0.56189002827656298"/>
    <n v="3750"/>
    <n v="105"/>
  </r>
  <r>
    <s v="Christmas Fence Garden Decorations Outdoor For Holiday Home"/>
    <s v="KSh"/>
    <n v="699"/>
    <s v="KSh"/>
    <n v="1343"/>
    <x v="25"/>
    <m/>
    <m/>
    <e v="#VALUE!"/>
    <n v="644"/>
    <x v="2"/>
    <n v="0.52047654504839913"/>
    <s v="High Discount"/>
    <m/>
    <m/>
    <n v="0.55338966516835675"/>
    <n v="3750"/>
    <n v="105"/>
  </r>
  <r>
    <s v="Angle Measuring Tool Full Metal Multi Angle Measuring Tool"/>
    <s v="KSh"/>
    <n v="799"/>
    <s v="KSh"/>
    <n v="1567"/>
    <x v="15"/>
    <m/>
    <m/>
    <e v="#VALUE!"/>
    <n v="768"/>
    <x v="2"/>
    <n v="0.50989151244416087"/>
    <s v="High Discount"/>
    <m/>
    <m/>
    <n v="0.5827329286517251"/>
    <n v="3750"/>
    <n v="105"/>
  </r>
  <r>
    <s v="12V 19500rpm Handheld Electric Angle Grinder Tool - UK - Yellow/Black"/>
    <s v="KSh"/>
    <n v="2799"/>
    <s v="KSh"/>
    <n v="3810"/>
    <x v="26"/>
    <m/>
    <m/>
    <e v="#VALUE!"/>
    <n v="1011"/>
    <x v="2"/>
    <n v="0.73464566929133857"/>
    <s v="High Discount"/>
    <m/>
    <m/>
    <n v="0.58671778694072996"/>
    <n v="3750"/>
    <n v="105"/>
  </r>
  <r>
    <s v="Simple Metal Dog Art Sculpture Decoration For Home Office"/>
    <s v="KSh"/>
    <n v="399"/>
    <s v="KSh"/>
    <n v="896"/>
    <x v="7"/>
    <m/>
    <m/>
    <e v="#VALUE!"/>
    <n v="497"/>
    <x v="2"/>
    <n v="0.4453125"/>
    <s v="High Discount"/>
    <m/>
    <m/>
    <n v="0.56064604590835887"/>
    <n v="3750"/>
    <n v="105"/>
  </r>
  <r>
    <s v="5 Pieces/set Of Stainless Steel Induction Cooker Pots"/>
    <s v="KSh"/>
    <n v="2170"/>
    <s v="KSh"/>
    <n v="2500"/>
    <x v="34"/>
    <n v="-6"/>
    <s v="2.5 out of 5"/>
    <n v="2.5"/>
    <n v="330"/>
    <x v="3"/>
    <n v="0.86799999999999999"/>
    <s v="High Discount"/>
    <m/>
    <m/>
    <n v="0.57899475921347587"/>
    <n v="3750"/>
    <n v="105"/>
  </r>
  <r>
    <s v="Mythco 120COB Solar Wall Ligt With Motion Sensor And Remote Control 3 Modes"/>
    <s v="KSh"/>
    <n v="458"/>
    <s v="KSh"/>
    <n v="986"/>
    <x v="20"/>
    <n v="-10"/>
    <s v="3 out of 5"/>
    <n v="3"/>
    <n v="528"/>
    <x v="1"/>
    <n v="0.46450304259634889"/>
    <s v="High Discount"/>
    <m/>
    <m/>
    <n v="0.54318523540395214"/>
    <n v="3750"/>
    <n v="105"/>
  </r>
  <r>
    <s v="5-PCS Stainless Steel Cooking Pot Set With Steamed Slices"/>
    <s v="KSh"/>
    <n v="2115"/>
    <s v="KSh"/>
    <n v="4700"/>
    <x v="7"/>
    <n v="-13"/>
    <s v="2.1 out of 5"/>
    <n v="2.1"/>
    <n v="2585"/>
    <x v="3"/>
    <n v="0.45"/>
    <s v="High Discount"/>
    <m/>
    <m/>
    <n v="0.57044895769434401"/>
    <n v="3750"/>
    <n v="105"/>
  </r>
  <r>
    <s v="120W Cordless Vacuum Cleaners Handheld Electric Vacuum Cleaner"/>
    <s v="KSh"/>
    <n v="445"/>
    <s v="KSh"/>
    <n v="873"/>
    <x v="15"/>
    <n v="-69"/>
    <s v="2.8 out of 5"/>
    <n v="2.8"/>
    <n v="428"/>
    <x v="3"/>
    <n v="0.50973654066437568"/>
    <s v="High Discount"/>
    <m/>
    <m/>
    <n v="0.58412559113841944"/>
    <n v="3750"/>
    <n v="105"/>
  </r>
  <r>
    <s v="Intelligent  LED Body Sensor Wireless Lighting Night Light USB"/>
    <s v="KSh"/>
    <n v="325"/>
    <s v="KSh"/>
    <n v="680"/>
    <x v="24"/>
    <n v="-15"/>
    <s v="2.7 out of 5"/>
    <n v="2.7"/>
    <n v="355"/>
    <x v="3"/>
    <n v="0.47794117647058826"/>
    <s v="High Discount"/>
    <m/>
    <m/>
    <n v="0.59039760324356416"/>
    <n v="3750"/>
    <n v="105"/>
  </r>
  <r>
    <s v="VIC Wireless Vacuum Cleaner Dual Use For Home And Car 120W High Power Powerful"/>
    <s v="KSh"/>
    <n v="1220"/>
    <s v="KSh"/>
    <n v="1555"/>
    <x v="32"/>
    <n v="-16"/>
    <s v="2.9 out of 5"/>
    <n v="2.9"/>
    <n v="335"/>
    <x v="3"/>
    <n v="0.78456591639871387"/>
    <s v="High Discount"/>
    <m/>
    <m/>
    <n v="0.59658495506779252"/>
    <n v="3750"/>
    <n v="105"/>
  </r>
  <r>
    <s v="Artificial Potted Flowers Room Decorative Flowers (2 Pieces)"/>
    <s v="KSh"/>
    <n v="990"/>
    <s v="KSh"/>
    <n v="1814"/>
    <x v="8"/>
    <n v="-6"/>
    <s v="2.2 out of 5"/>
    <n v="2.2000000000000002"/>
    <n v="824"/>
    <x v="3"/>
    <n v="0.54575523704520401"/>
    <s v="High Discount"/>
    <m/>
    <m/>
    <n v="0.56779263920436263"/>
    <n v="3750"/>
    <n v="105"/>
  </r>
  <r>
    <s v="380ML USB Rechargeable Portable Small Blenders And Juicers"/>
    <s v="KSh"/>
    <n v="1000"/>
    <s v="KSh"/>
    <n v="2000"/>
    <x v="29"/>
    <n v="-7"/>
    <s v="2.3 out of 5"/>
    <n v="2.2999999999999998"/>
    <n v="1000"/>
    <x v="3"/>
    <n v="0.5"/>
    <s v="High Discount"/>
    <m/>
    <m/>
    <n v="0.5662627830867325"/>
    <n v="3750"/>
    <n v="105"/>
  </r>
  <r>
    <s v="32PCS Portable Cordless Drill Set With Cyclic Battery Drive -26 Variable Speed"/>
    <s v="KSh"/>
    <n v="3750"/>
    <s v="KSh"/>
    <n v="6143"/>
    <x v="35"/>
    <n v="-5"/>
    <s v="3 out of 5"/>
    <n v="3"/>
    <n v="2393"/>
    <x v="1"/>
    <n v="0.61045091974605237"/>
    <s v="High Discount"/>
    <m/>
    <m/>
    <n v="0.57459611642006569"/>
    <n v="3750"/>
    <n v="105"/>
  </r>
  <r>
    <s v="Agapeon Toothbrush Holder And Toothpaste Dispenser"/>
    <s v="KSh"/>
    <n v="382"/>
    <s v="KSh"/>
    <n v="700"/>
    <x v="8"/>
    <n v="-17"/>
    <s v="2.6 out of 5"/>
    <n v="2.6"/>
    <n v="318"/>
    <x v="3"/>
    <n v="0.54571428571428571"/>
    <s v="High Discount"/>
    <m/>
    <m/>
    <n v="0.61374124614502723"/>
    <n v="3640"/>
    <n v="105"/>
  </r>
  <r>
    <s v="Large Lazy Inflatable Sofa Chairs PVC Lounger Seat Bag"/>
    <s v="KSh"/>
    <n v="2300"/>
    <s v="KSh"/>
    <n v="3240"/>
    <x v="36"/>
    <n v="-5"/>
    <s v="3 out of 5"/>
    <n v="3"/>
    <n v="940"/>
    <x v="1"/>
    <n v="0.70987654320987659"/>
    <s v="High Discount"/>
    <m/>
    <m/>
    <n v="0.60989644896689676"/>
    <n v="3640"/>
    <n v="105"/>
  </r>
  <r>
    <s v="Watercolour Gold Foil Textured Print Pillow Cover"/>
    <s v="KSh"/>
    <n v="345"/>
    <s v="KSh"/>
    <n v="602"/>
    <x v="37"/>
    <n v="-6"/>
    <s v="2.3 out of 5"/>
    <n v="2.2999999999999998"/>
    <n v="257"/>
    <x v="3"/>
    <n v="0.57308970099667778"/>
    <s v="High Discount"/>
    <m/>
    <m/>
    <n v="0.59109909064652288"/>
    <n v="3640"/>
    <n v="105"/>
  </r>
  <r>
    <s v="Wrought Iron Bathroom Shelf Wall Mounted Free Punch Toilet Rack"/>
    <s v="KSh"/>
    <n v="509"/>
    <s v="KSh"/>
    <n v="899"/>
    <x v="37"/>
    <n v="-5"/>
    <s v="3 out of 5"/>
    <n v="3"/>
    <n v="390"/>
    <x v="1"/>
    <n v="0.56618464961067849"/>
    <s v="High Discount"/>
    <m/>
    <m/>
    <n v="0.58407754979504012"/>
    <n v="3640"/>
    <n v="105"/>
  </r>
  <r>
    <s v="7-piece Set Of Storage Bags, Travel Storage Bags, Shoe Bags"/>
    <s v="KSh"/>
    <n v="968"/>
    <s v="KSh"/>
    <n v="1814"/>
    <x v="1"/>
    <n v="-6"/>
    <s v="2.2 out of 5"/>
    <n v="2.2000000000000002"/>
    <n v="846"/>
    <x v="3"/>
    <n v="0.53362734288864389"/>
    <s v="High Discount"/>
    <m/>
    <m/>
    <n v="0.59200754263305799"/>
    <n v="3640"/>
    <n v="105"/>
  </r>
  <r>
    <s v="Electric LED UV Mosquito Killer Lamp, Outdoor/Indoor Fly Killer Trap Light -USB"/>
    <s v="KSh"/>
    <n v="1570"/>
    <s v="KSh"/>
    <n v="2988"/>
    <x v="1"/>
    <n v="-7"/>
    <s v="2.1 out of 5"/>
    <n v="2.1"/>
    <n v="1418"/>
    <x v="3"/>
    <n v="0.5254350736278447"/>
    <s v="High Discount"/>
    <m/>
    <m/>
    <n v="0.64166859452189406"/>
    <n v="3640"/>
    <n v="105"/>
  </r>
  <r>
    <s v="2PCS/LOT Solar LED Outdoor Intelligent Light Controlled Wall Lamp"/>
    <s v="KSh"/>
    <n v="790"/>
    <s v="KSh"/>
    <n v="1485"/>
    <x v="1"/>
    <m/>
    <m/>
    <e v="#VALUE!"/>
    <n v="695"/>
    <x v="2"/>
    <n v="0.53198653198653201"/>
    <s v="High Discount"/>
    <m/>
    <m/>
    <n v="0.63995873832453609"/>
    <n v="3640"/>
    <n v="105"/>
  </r>
  <r>
    <s v="3PCS Rotary Scraper Thermomix For Kitchen"/>
    <s v="KSh"/>
    <n v="690"/>
    <s v="KSh"/>
    <n v="1200"/>
    <x v="37"/>
    <m/>
    <m/>
    <e v="#VALUE!"/>
    <n v="510"/>
    <x v="2"/>
    <n v="0.57499999999999996"/>
    <s v="High Discount"/>
    <m/>
    <m/>
    <n v="0.637531893385614"/>
    <n v="3640"/>
    <n v="105"/>
  </r>
  <r>
    <s v="Cushion Silicone Butt Cushion Summer Ice Cushion Honeycomb Gel Cushion"/>
    <s v="KSh"/>
    <n v="1732"/>
    <s v="KSh"/>
    <n v="1799"/>
    <x v="38"/>
    <m/>
    <m/>
    <e v="#VALUE!"/>
    <n v="67"/>
    <x v="2"/>
    <n v="0.96275708727070597"/>
    <s v="High Discount"/>
    <m/>
    <m/>
    <n v="0.66951639407229235"/>
    <n v="3640"/>
    <n v="105"/>
  </r>
  <r>
    <s v="7PCS Silicone Thumb Knife Finger Protector Vegetable Harvesting Knife"/>
    <s v="KSh"/>
    <n v="230"/>
    <s v="KSh"/>
    <n v="450"/>
    <x v="15"/>
    <m/>
    <m/>
    <e v="#VALUE!"/>
    <n v="220"/>
    <x v="2"/>
    <n v="0.51111111111111107"/>
    <s v="High Discount"/>
    <m/>
    <m/>
    <n v="0.61923694944900065"/>
    <n v="3640"/>
    <n v="105"/>
  </r>
  <r>
    <s v="Memory Foam Neck Pillow Cover, With Pillow Core - 50*30cm"/>
    <s v="KSh"/>
    <n v="1189"/>
    <s v="KSh"/>
    <n v="2199"/>
    <x v="14"/>
    <n v="-1"/>
    <s v="3 out of 5"/>
    <n v="3"/>
    <n v="1010"/>
    <x v="1"/>
    <n v="0.540700318326512"/>
    <s v="High Discount"/>
    <m/>
    <m/>
    <n v="0.66108880130085235"/>
    <n v="3640"/>
    <n v="105"/>
  </r>
  <r>
    <s v="Bedroom Simple Floor Hanging Clothes Rack Single Pole Hat Rack - White"/>
    <s v="KSh"/>
    <n v="979"/>
    <s v="KSh"/>
    <n v="1920"/>
    <x v="15"/>
    <n v="-1"/>
    <s v="5 out of 5"/>
    <n v="5"/>
    <n v="941"/>
    <x v="0"/>
    <n v="0.50989583333333333"/>
    <s v="High Discount"/>
    <m/>
    <m/>
    <n v="0.65768800678700257"/>
    <n v="3640"/>
    <n v="105"/>
  </r>
  <r>
    <s v="5m Waterproof Spherical LED String Lights Outdoor Ball Chain Lights Party Lighting Decoration Adjustable"/>
    <s v="KSh"/>
    <n v="1460"/>
    <s v="KSh"/>
    <n v="2290"/>
    <x v="39"/>
    <m/>
    <m/>
    <e v="#VALUE!"/>
    <n v="830"/>
    <x v="2"/>
    <n v="0.63755458515283847"/>
    <s v="High Discount"/>
    <m/>
    <m/>
    <n v="0.69703709966298621"/>
    <n v="3640"/>
    <n v="105"/>
  </r>
  <r>
    <s v="2 Pairs Cowhide Split Leather Work Gloves.32â„‰ Or Above Welding Gloves"/>
    <s v="KSh"/>
    <n v="1666"/>
    <s v="KSh"/>
    <n v="1699"/>
    <x v="30"/>
    <m/>
    <m/>
    <e v="#VALUE!"/>
    <n v="33"/>
    <x v="2"/>
    <n v="0.98057680988816953"/>
    <s v="High Discount"/>
    <m/>
    <m/>
    <n v="0.68983406494903454"/>
    <n v="3640"/>
    <n v="105"/>
  </r>
  <r>
    <s v="Household Pineapple Peeler Peeler"/>
    <s v="KSh"/>
    <n v="330"/>
    <s v="KSh"/>
    <n v="647"/>
    <x v="15"/>
    <n v="-1"/>
    <s v="4 out of 5"/>
    <n v="4"/>
    <n v="317"/>
    <x v="1"/>
    <n v="0.51004636785162283"/>
    <s v="High Discount"/>
    <m/>
    <m/>
    <n v="0.63643664162812685"/>
    <n v="3640"/>
    <n v="105"/>
  </r>
  <r>
    <s v="Creative Owl Shape Keychain Black"/>
    <s v="KSh"/>
    <n v="176"/>
    <s v="KSh"/>
    <n v="345"/>
    <x v="15"/>
    <m/>
    <m/>
    <e v="#VALUE!"/>
    <n v="169"/>
    <x v="2"/>
    <n v="0.51014492753623186"/>
    <s v="High Discount"/>
    <m/>
    <m/>
    <n v="0.63754260075572411"/>
    <n v="3640"/>
    <n v="105"/>
  </r>
  <r>
    <s v="Office Chair Lumbar Back Support Spine Posture Correction Pillow Car Cushion"/>
    <s v="KSh"/>
    <n v="1466"/>
    <s v="KSh"/>
    <n v="1699"/>
    <x v="40"/>
    <m/>
    <m/>
    <e v="#VALUE!"/>
    <n v="233"/>
    <x v="2"/>
    <n v="0.8628605061801059"/>
    <s v="High Discount"/>
    <m/>
    <m/>
    <n v="0.63919316436280971"/>
    <n v="3640"/>
    <n v="105"/>
  </r>
  <r>
    <s v="Cartoon Car Decoration Cute Individuality For Car Home Desk"/>
    <s v="KSh"/>
    <n v="274"/>
    <s v="KSh"/>
    <n v="537"/>
    <x v="15"/>
    <m/>
    <m/>
    <e v="#VALUE!"/>
    <n v="263"/>
    <x v="2"/>
    <n v="0.51024208566108009"/>
    <s v="High Discount"/>
    <m/>
    <m/>
    <n v="0.60211252869476961"/>
    <n v="3640"/>
    <n v="105"/>
  </r>
  <r>
    <s v="Outdoor Portable Water Bottle With Medicine Box - 600ML - Black"/>
    <s v="KSh"/>
    <n v="799"/>
    <s v="KSh"/>
    <n v="900"/>
    <x v="41"/>
    <m/>
    <m/>
    <e v="#VALUE!"/>
    <n v="101"/>
    <x v="2"/>
    <n v="0.88777777777777778"/>
    <s v="High Discount"/>
    <m/>
    <m/>
    <n v="0.60097451917687184"/>
    <n v="3640"/>
    <n v="105"/>
  </r>
  <r>
    <s v="Angle Measuring Tool Full Metal Multi Angle Measuring Tool"/>
    <s v="KSh"/>
    <n v="657"/>
    <s v="KSh"/>
    <n v="1288"/>
    <x v="15"/>
    <m/>
    <m/>
    <e v="#VALUE!"/>
    <n v="631"/>
    <x v="2"/>
    <n v="0.5100931677018633"/>
    <s v="High Discount"/>
    <m/>
    <m/>
    <n v="0.60447444480531154"/>
    <n v="3640"/>
    <n v="105"/>
  </r>
  <r>
    <s v="Wall-Mounted Toothbrush Toothpaste Holder With Multiple Slots"/>
    <s v="KSh"/>
    <n v="1468"/>
    <s v="KSh"/>
    <n v="1699"/>
    <x v="40"/>
    <m/>
    <m/>
    <e v="#VALUE!"/>
    <n v="231"/>
    <x v="2"/>
    <n v="0.86403766921718661"/>
    <s v="High Discount"/>
    <m/>
    <m/>
    <n v="0.6561659681627281"/>
    <n v="3640"/>
    <n v="105"/>
  </r>
  <r>
    <s v="Multifunctional Hanging Storage Box Storage Bag (4 Layers)"/>
    <s v="KSh"/>
    <n v="630"/>
    <s v="KSh"/>
    <n v="1100"/>
    <x v="37"/>
    <m/>
    <m/>
    <e v="#VALUE!"/>
    <n v="470"/>
    <x v="2"/>
    <n v="0.57272727272727275"/>
    <s v="High Discount"/>
    <m/>
    <m/>
    <n v="0.61686045667677636"/>
    <n v="3640"/>
    <n v="105"/>
  </r>
  <r>
    <s v="Wall Clock With Hidden Safe Box"/>
    <s v="KSh"/>
    <n v="850"/>
    <s v="KSh"/>
    <n v="1700"/>
    <x v="29"/>
    <m/>
    <m/>
    <e v="#VALUE!"/>
    <n v="850"/>
    <x v="2"/>
    <n v="0.5"/>
    <s v="High Discount"/>
    <m/>
    <m/>
    <n v="0.65973936743889883"/>
    <n v="3640"/>
    <n v="105"/>
  </r>
  <r>
    <s v="Portable Wine Table With Folding Round Table"/>
    <s v="KSh"/>
    <n v="1300"/>
    <s v="KSh"/>
    <n v="2500"/>
    <x v="25"/>
    <m/>
    <m/>
    <e v="#VALUE!"/>
    <n v="1200"/>
    <x v="2"/>
    <n v="0.52"/>
    <s v="High Discount"/>
    <m/>
    <m/>
    <n v="0.66087315428697146"/>
    <n v="3640"/>
    <n v="105"/>
  </r>
  <r>
    <s v="Sewing Machine Needle Threader Stitch Insertion Tool Automatic Quick Sewing"/>
    <s v="KSh"/>
    <n v="105"/>
    <s v="KSh"/>
    <n v="200"/>
    <x v="25"/>
    <m/>
    <m/>
    <e v="#VALUE!"/>
    <n v="95"/>
    <x v="2"/>
    <n v="0.52500000000000002"/>
    <s v="High Discount"/>
    <m/>
    <m/>
    <n v="0.66712952805668557"/>
    <n v="3640"/>
    <n v="105"/>
  </r>
  <r>
    <s v="6 Layers Steel Pipe Assembling Dustproof Storage Shoe Cabinet"/>
    <s v="KSh"/>
    <n v="899"/>
    <s v="KSh"/>
    <n v="1699"/>
    <x v="1"/>
    <m/>
    <m/>
    <e v="#VALUE!"/>
    <n v="800"/>
    <x v="2"/>
    <n v="0.5291347851677457"/>
    <s v="High Discount"/>
    <m/>
    <m/>
    <n v="0.69694886352118224"/>
    <n v="3640"/>
    <n v="169"/>
  </r>
  <r>
    <s v="2PCS Ice Silk Square Cushion Cover Pillowcases - 65x65cm"/>
    <s v="KSh"/>
    <n v="1200"/>
    <s v="KSh"/>
    <n v="2400"/>
    <x v="29"/>
    <m/>
    <m/>
    <e v="#VALUE!"/>
    <n v="1200"/>
    <x v="2"/>
    <n v="0.5"/>
    <s v="High Discount"/>
    <m/>
    <m/>
    <n v="0.70335353844744741"/>
    <n v="3640"/>
    <n v="169"/>
  </r>
  <r>
    <s v="Wall Mount Automatic Toothpaste Dispenser Toothbrush Holder Toothpaste Squeezer"/>
    <s v="KSh"/>
    <n v="1526"/>
    <s v="KSh"/>
    <n v="1660"/>
    <x v="42"/>
    <m/>
    <m/>
    <e v="#VALUE!"/>
    <n v="134"/>
    <x v="2"/>
    <n v="0.91927710843373489"/>
    <s v="High Discount"/>
    <m/>
    <m/>
    <n v="0.75750484615325753"/>
    <n v="3640"/>
    <n v="169"/>
  </r>
  <r>
    <s v="Portable Soap Dispenser Kitchen Detergent Press Box Kitchen Tools"/>
    <s v="KSh"/>
    <n v="1462"/>
    <s v="KSh"/>
    <n v="1499"/>
    <x v="30"/>
    <m/>
    <m/>
    <e v="#VALUE!"/>
    <n v="37"/>
    <x v="2"/>
    <n v="0.97531687791861243"/>
    <s v="High Discount"/>
    <m/>
    <m/>
    <n v="0.73997832983156053"/>
    <n v="3640"/>
    <n v="169"/>
  </r>
  <r>
    <s v="4 Piece Coloured Stainless Steel Kitchenware Set"/>
    <s v="KSh"/>
    <n v="248"/>
    <s v="KSh"/>
    <n v="486"/>
    <x v="15"/>
    <m/>
    <m/>
    <e v="#VALUE!"/>
    <n v="238"/>
    <x v="2"/>
    <n v="0.51028806584362141"/>
    <s v="High Discount"/>
    <m/>
    <m/>
    <n v="0.70517212392452877"/>
    <n v="3640"/>
    <n v="169"/>
  </r>
  <r>
    <s v="Metal Wall Clock Silver Dial Crystal Jewelry Round Home Decoration Wall Clock"/>
    <s v="KSh"/>
    <n v="3546"/>
    <s v="KSh"/>
    <n v="3699"/>
    <x v="38"/>
    <m/>
    <m/>
    <e v="#VALUE!"/>
    <n v="153"/>
    <x v="2"/>
    <n v="0.95863746958637475"/>
    <s v="High Discount"/>
    <m/>
    <m/>
    <n v="0.72152440144589414"/>
    <n v="3640"/>
    <n v="169"/>
  </r>
  <r>
    <s v="Baby Early Education Shape And Color Cognitive Training Toys"/>
    <s v="KSh"/>
    <n v="525"/>
    <s v="KSh"/>
    <n v="1029"/>
    <x v="15"/>
    <m/>
    <m/>
    <e v="#VALUE!"/>
    <n v="504"/>
    <x v="2"/>
    <n v="0.51020408163265307"/>
    <s v="High Discount"/>
    <m/>
    <m/>
    <n v="0.7234389223518356"/>
    <n v="3640"/>
    <n v="169"/>
  </r>
  <r>
    <s v="8in1 Screwdriver With LED Light"/>
    <s v="KSh"/>
    <n v="1080"/>
    <s v="KSh"/>
    <n v="1874"/>
    <x v="11"/>
    <m/>
    <m/>
    <e v="#VALUE!"/>
    <n v="794"/>
    <x v="2"/>
    <n v="0.57630736392742798"/>
    <s v="High Discount"/>
    <m/>
    <m/>
    <n v="0.77594604712132831"/>
    <n v="3640"/>
    <n v="169"/>
  </r>
  <r>
    <s v="Konka Healty Electric Kettle, 24-hour Heat Preservation,1.5L,800W, White"/>
    <s v="KSh"/>
    <n v="3640"/>
    <s v="KSh"/>
    <n v="4588"/>
    <x v="43"/>
    <n v="-1"/>
    <s v="5 out of 5"/>
    <n v="5"/>
    <n v="948"/>
    <x v="0"/>
    <n v="0.79337401918047079"/>
    <s v="High Discount"/>
    <m/>
    <m/>
    <n v="0.75189582163371182"/>
    <n v="3640"/>
    <n v="169"/>
  </r>
  <r>
    <s v="9pcs Gas Mask, For Painting, Dust, Formaldehyde Grinding, Polishing"/>
    <s v="KSh"/>
    <n v="1420"/>
    <s v="KSh"/>
    <n v="2420"/>
    <x v="28"/>
    <m/>
    <m/>
    <e v="#VALUE!"/>
    <n v="1000"/>
    <x v="2"/>
    <n v="0.58677685950413228"/>
    <s v="High Discount"/>
    <m/>
    <m/>
    <n v="0.71929870839143728"/>
    <n v="1875"/>
    <n v="169"/>
  </r>
  <r>
    <s v="24 Grid Wall-mounted Sundries Organiser Fabric Closet Bag Storage Rack"/>
    <s v="KSh"/>
    <n v="1875"/>
    <s v="KSh"/>
    <n v="1899"/>
    <x v="44"/>
    <m/>
    <m/>
    <e v="#VALUE!"/>
    <n v="24"/>
    <x v="2"/>
    <n v="0.9873617693522907"/>
    <s v="High Discount"/>
    <m/>
    <m/>
    <n v="0.71278183511320037"/>
    <n v="1875"/>
    <n v="169"/>
  </r>
  <r>
    <s v="1PC Refrigerator Food Seal Pocket Fridge Bags"/>
    <s v="KSh"/>
    <n v="198"/>
    <s v="KSh"/>
    <n v="260"/>
    <x v="6"/>
    <m/>
    <m/>
    <e v="#VALUE!"/>
    <n v="62"/>
    <x v="2"/>
    <n v="0.7615384615384615"/>
    <s v="High Discount"/>
    <m/>
    <m/>
    <n v="0.67845934333331404"/>
    <n v="1768"/>
    <n v="169"/>
  </r>
  <r>
    <s v="LED Solar Street Light-fake Camera"/>
    <s v="KSh"/>
    <n v="1150"/>
    <s v="KSh"/>
    <n v="1737"/>
    <x v="10"/>
    <m/>
    <m/>
    <e v="#VALUE!"/>
    <n v="587"/>
    <x v="2"/>
    <n v="0.66206102475532524"/>
    <s v="High Discount"/>
    <m/>
    <m/>
    <n v="0.66659089787543579"/>
    <n v="1768"/>
    <n v="169"/>
  </r>
  <r>
    <s v="Cartoon Embroidered Mini Towel Bear Cotton Wash Cloth Hand 4pcs"/>
    <s v="KSh"/>
    <n v="1190"/>
    <s v="KSh"/>
    <n v="1810"/>
    <x v="10"/>
    <m/>
    <m/>
    <e v="#VALUE!"/>
    <n v="620"/>
    <x v="2"/>
    <n v="0.65745856353591159"/>
    <s v="High Discount"/>
    <m/>
    <m/>
    <n v="0.66734587672878753"/>
    <n v="1768"/>
    <n v="169"/>
  </r>
  <r>
    <s v="Shower Nozzle Cleaning Unclogging Needle Mini Crevice Small Hole Cleaning Brush"/>
    <s v="KSh"/>
    <n v="1658"/>
    <s v="KSh"/>
    <n v="1699"/>
    <x v="30"/>
    <m/>
    <m/>
    <e v="#VALUE!"/>
    <n v="41"/>
    <x v="2"/>
    <n v="0.97586815773984692"/>
    <s v="High Discount"/>
    <m/>
    <m/>
    <n v="0.66932333936736266"/>
    <n v="1768"/>
    <n v="169"/>
  </r>
  <r>
    <s v="Thickening Multipurpose Non Stick Easy To Clean Heat Resistant Spoon Pad"/>
    <s v="KSh"/>
    <n v="1768"/>
    <s v="KSh"/>
    <n v="1799"/>
    <x v="30"/>
    <m/>
    <m/>
    <e v="#VALUE!"/>
    <n v="31"/>
    <x v="2"/>
    <n v="0.98276820455808778"/>
    <s v="High Discount"/>
    <m/>
    <m/>
    <n v="0.59268713477424173"/>
    <n v="1768"/>
    <n v="169"/>
  </r>
  <r>
    <s v="6 In 1 Bottle Can Opener Multifunctional Easy Opener"/>
    <s v="KSh"/>
    <n v="199"/>
    <s v="KSh"/>
    <n v="553"/>
    <x v="45"/>
    <m/>
    <m/>
    <e v="#VALUE!"/>
    <n v="354"/>
    <x v="2"/>
    <n v="0.35985533453887886"/>
    <s v="Medium Discount"/>
    <m/>
    <m/>
    <n v="0.4626601115129596"/>
    <n v="450"/>
    <n v="169"/>
  </r>
  <r>
    <s v="Wall-mounted Sticker Punch-free Plug Fixer"/>
    <s v="KSh"/>
    <n v="450"/>
    <s v="KSh"/>
    <n v="900"/>
    <x v="29"/>
    <n v="-1"/>
    <s v="2 out of 5"/>
    <n v="2"/>
    <n v="450"/>
    <x v="3"/>
    <n v="0.5"/>
    <s v="High Discount"/>
    <m/>
    <m/>
    <n v="0.51406249999999998"/>
    <n v="450"/>
    <n v="169"/>
  </r>
  <r>
    <s v="Black Simple Water Cup Wine Coaster Anti Slip Absorbent"/>
    <s v="KSh"/>
    <n v="169"/>
    <s v="KSh"/>
    <n v="320"/>
    <x v="1"/>
    <m/>
    <m/>
    <e v="#VALUE!"/>
    <n v="151"/>
    <x v="2"/>
    <n v="0.52812499999999996"/>
    <s v="High Discount"/>
    <m/>
    <m/>
    <n v="0.52812499999999996"/>
    <n v="169"/>
    <n v="169"/>
  </r>
  <r>
    <m/>
    <m/>
    <m/>
    <m/>
    <m/>
    <x v="46"/>
    <m/>
    <m/>
    <m/>
    <m/>
    <x v="4"/>
    <m/>
    <m/>
    <m/>
    <m/>
    <m/>
    <m/>
    <m/>
  </r>
  <r>
    <m/>
    <m/>
    <m/>
    <m/>
    <m/>
    <x v="46"/>
    <m/>
    <m/>
    <m/>
    <m/>
    <x v="4"/>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s v="1/2/3 Seater Elastic Sofa Cover,Living Room/Home Decor Chair Cover-Grey"/>
    <s v="KSh"/>
    <n v="1980"/>
    <s v="KSh"/>
    <n v="3200"/>
    <n v="0.38"/>
    <n v="-2"/>
    <s v="4.5 out of 5"/>
    <x v="0"/>
    <n v="1220"/>
    <x v="0"/>
    <x v="0"/>
    <s v="High Discount"/>
    <m/>
    <n v="0.93932712573349675"/>
    <n v="3750"/>
    <n v="38"/>
    <n v="-0.13874390617617255"/>
  </r>
  <r>
    <s v="24 Grid Wall-mounted Sundries Organiser Fabric Closet Bag Storage Rack"/>
    <s v="KSh"/>
    <n v="1875"/>
    <s v="KSh"/>
    <n v="1899"/>
    <n v="0.01"/>
    <m/>
    <m/>
    <x v="1"/>
    <n v="24"/>
    <x v="1"/>
    <x v="1"/>
    <s v="High Discount"/>
    <m/>
    <n v="0.97755013543024183"/>
    <n v="3750"/>
    <n v="38"/>
    <n v="-0.14034658870952965"/>
  </r>
  <r>
    <s v="Shower Cap Wide Elastic Band Cover Reusable Bashroom Cap"/>
    <s v="KSh"/>
    <n v="2132"/>
    <s v="KSh"/>
    <n v="2169"/>
    <n v="0.02"/>
    <m/>
    <m/>
    <x v="1"/>
    <n v="37"/>
    <x v="1"/>
    <x v="2"/>
    <s v="High Discount"/>
    <m/>
    <n v="0.97435854656736232"/>
    <n v="3750"/>
    <n v="38"/>
    <n v="-0.14034658870952965"/>
  </r>
  <r>
    <s v="Thickening Multipurpose Non Stick Easy To Clean Heat Resistant Spoon Pad"/>
    <s v="KSh"/>
    <n v="1768"/>
    <s v="KSh"/>
    <n v="1799"/>
    <n v="0.02"/>
    <m/>
    <m/>
    <x v="1"/>
    <n v="31"/>
    <x v="1"/>
    <x v="3"/>
    <s v="High Discount"/>
    <m/>
    <n v="0.96728473109647295"/>
    <n v="3750"/>
    <n v="38"/>
    <n v="-0.14034658870952965"/>
  </r>
  <r>
    <s v="2 Pairs Cowhide Split Leather Work Gloves.32â„‰ Or Above Welding Gloves"/>
    <s v="KSh"/>
    <n v="1666"/>
    <s v="KSh"/>
    <n v="1699"/>
    <n v="0.02"/>
    <m/>
    <m/>
    <x v="1"/>
    <n v="33"/>
    <x v="1"/>
    <x v="4"/>
    <s v="High Discount"/>
    <m/>
    <n v="0.95937161414287275"/>
    <n v="3750"/>
    <n v="38"/>
    <n v="-0.14034658870952965"/>
  </r>
  <r>
    <s v="Pen Grips For Kids Pen Grip Posture Correction Tool For Kids"/>
    <s v="KSh"/>
    <n v="1660"/>
    <s v="KSh"/>
    <n v="1699"/>
    <n v="0.02"/>
    <m/>
    <m/>
    <x v="1"/>
    <n v="39"/>
    <x v="1"/>
    <x v="5"/>
    <s v="High Discount"/>
    <m/>
    <n v="0.9490606105750512"/>
    <n v="3750"/>
    <n v="38"/>
    <n v="-0.14034658870952965"/>
  </r>
  <r>
    <s v="Shower Nozzle Cleaning Unclogging Needle Mini Crevice Small Hole Cleaning Brush"/>
    <s v="KSh"/>
    <n v="1658"/>
    <s v="KSh"/>
    <n v="1699"/>
    <n v="0.02"/>
    <m/>
    <m/>
    <x v="1"/>
    <n v="41"/>
    <x v="1"/>
    <x v="6"/>
    <s v="High Discount"/>
    <m/>
    <n v="0.93694446382205931"/>
    <n v="3750"/>
    <n v="38"/>
    <n v="-0.14034658870952965"/>
  </r>
  <r>
    <s v="Portable Soap Dispenser Kitchen Detergent Press Box Kitchen Tools"/>
    <s v="KSh"/>
    <n v="1462"/>
    <s v="KSh"/>
    <n v="1499"/>
    <n v="0.02"/>
    <m/>
    <m/>
    <x v="1"/>
    <n v="37"/>
    <x v="1"/>
    <x v="7"/>
    <s v="High Discount"/>
    <m/>
    <n v="0.92451885398620826"/>
    <n v="3750"/>
    <n v="38"/>
    <n v="-0.14034658870952965"/>
  </r>
  <r>
    <s v="Multi-purpose Rice Drainage Basket And Fruit And Vegetable Drainage Sieve"/>
    <s v="KSh"/>
    <n v="1459"/>
    <s v="KSh"/>
    <n v="1499"/>
    <n v="0.03"/>
    <m/>
    <m/>
    <x v="1"/>
    <n v="40"/>
    <x v="1"/>
    <x v="8"/>
    <s v="High Discount"/>
    <m/>
    <n v="0.91202370157081858"/>
    <n v="3750"/>
    <n v="38"/>
    <n v="-0.14034658870952965"/>
  </r>
  <r>
    <s v="Cushion Silicone Butt Cushion Summer Ice Cushion Honeycomb Gel Cushion"/>
    <s v="KSh"/>
    <n v="1732"/>
    <s v="KSh"/>
    <n v="1799"/>
    <n v="0.04"/>
    <m/>
    <m/>
    <x v="1"/>
    <n v="67"/>
    <x v="1"/>
    <x v="9"/>
    <s v="High Discount"/>
    <m/>
    <n v="0.89478662095815431"/>
    <n v="3750"/>
    <n v="38"/>
    <n v="-0.14034658870952965"/>
  </r>
  <r>
    <s v="Metal Wall Clock Silver Dial Crystal Jewelry Round Home Decoration Wall Clock"/>
    <s v="KSh"/>
    <n v="3546"/>
    <s v="KSh"/>
    <n v="3699"/>
    <n v="0.04"/>
    <m/>
    <m/>
    <x v="1"/>
    <n v="153"/>
    <x v="1"/>
    <x v="10"/>
    <s v="High Discount"/>
    <m/>
    <n v="0.87789801845854953"/>
    <n v="3750"/>
    <n v="38"/>
    <n v="-0.14034658870952965"/>
  </r>
  <r>
    <s v="Wall Mount Automatic Toothpaste Dispenser Toothbrush Holder Toothpaste Squeezer"/>
    <s v="KSh"/>
    <n v="1526"/>
    <s v="KSh"/>
    <n v="1660"/>
    <n v="0.08"/>
    <m/>
    <m/>
    <x v="1"/>
    <n v="134"/>
    <x v="1"/>
    <x v="11"/>
    <s v="High Discount"/>
    <m/>
    <n v="0.8602493884822634"/>
    <n v="3750"/>
    <n v="38"/>
    <n v="-0.14034658870952965"/>
  </r>
  <r>
    <s v="220V 60W Electric Soldering Iron Kits With Tools, Tips, And Multimeter"/>
    <s v="KSh"/>
    <n v="2999"/>
    <s v="KSh"/>
    <n v="3290"/>
    <n v="0.09"/>
    <n v="-15"/>
    <s v="4 out of 5"/>
    <x v="2"/>
    <n v="291"/>
    <x v="2"/>
    <x v="12"/>
    <s v="High Discount"/>
    <m/>
    <n v="0.84626015634301188"/>
    <n v="3750"/>
    <n v="38"/>
    <n v="-0.14034658870952965"/>
  </r>
  <r>
    <s v="Outdoor Portable Water Bottle With Medicine Box - 600ML - Black"/>
    <s v="KSh"/>
    <n v="799"/>
    <s v="KSh"/>
    <n v="900"/>
    <n v="0.11"/>
    <m/>
    <m/>
    <x v="1"/>
    <n v="101"/>
    <x v="1"/>
    <x v="13"/>
    <s v="High Discount"/>
    <m/>
    <n v="0.83215079683445958"/>
    <n v="3750"/>
    <n v="38"/>
    <n v="-0.14196300663382955"/>
  </r>
  <r>
    <s v="5 Pieces/set Of Stainless Steel Induction Cooker Pots"/>
    <s v="KSh"/>
    <n v="2170"/>
    <s v="KSh"/>
    <n v="2500"/>
    <n v="0.13"/>
    <n v="-6"/>
    <s v="2.5 out of 5"/>
    <x v="3"/>
    <n v="330"/>
    <x v="3"/>
    <x v="14"/>
    <s v="High Discount"/>
    <m/>
    <n v="0.82002502522952136"/>
    <n v="3750"/>
    <n v="38"/>
    <n v="-0.14196300663382955"/>
  </r>
  <r>
    <s v="Wall-Mounted Toothbrush Toothpaste Holder With Multiple Slots"/>
    <s v="KSh"/>
    <n v="1468"/>
    <s v="KSh"/>
    <n v="1699"/>
    <n v="0.14000000000000001"/>
    <m/>
    <m/>
    <x v="1"/>
    <n v="231"/>
    <x v="1"/>
    <x v="15"/>
    <s v="High Discount"/>
    <m/>
    <n v="0.8088518986145341"/>
    <n v="3750"/>
    <n v="38"/>
    <n v="-0.17111625474252762"/>
  </r>
  <r>
    <s v="Office Chair Lumbar Back Support Spine Posture Correction Pillow Car Cushion"/>
    <s v="KSh"/>
    <n v="1466"/>
    <s v="KSh"/>
    <n v="1699"/>
    <n v="0.14000000000000001"/>
    <m/>
    <m/>
    <x v="1"/>
    <n v="233"/>
    <x v="1"/>
    <x v="16"/>
    <s v="High Discount"/>
    <m/>
    <n v="0.79783012299644163"/>
    <n v="3750"/>
    <n v="38"/>
    <n v="-0.17111625474252762"/>
  </r>
  <r>
    <s v="Portable Wardrobe Nonwoven With 3 Hanging Rods And 6 Storage Shelves"/>
    <s v="KSh"/>
    <n v="2880"/>
    <s v="KSh"/>
    <n v="3520"/>
    <n v="0.18"/>
    <n v="-12"/>
    <s v="3.8 out of 5"/>
    <x v="4"/>
    <n v="640"/>
    <x v="2"/>
    <x v="17"/>
    <s v="High Discount"/>
    <m/>
    <n v="0.78657211803625904"/>
    <n v="3750"/>
    <n v="38"/>
    <n v="-0.17111625474252762"/>
  </r>
  <r>
    <s v="LED Wall Digital Alarm Clock Study Home 12 / 24H Clock Calendar"/>
    <s v="KSh"/>
    <n v="2999"/>
    <s v="KSh"/>
    <n v="3699"/>
    <n v="0.19"/>
    <n v="-5"/>
    <s v="4.6 out of 5"/>
    <x v="5"/>
    <n v="700"/>
    <x v="0"/>
    <x v="18"/>
    <s v="High Discount"/>
    <m/>
    <n v="0.77925294616012508"/>
    <n v="3750"/>
    <n v="38"/>
    <n v="-0.18050940038636692"/>
  </r>
  <r>
    <s v="Genebre 115 In 1 Screwdriver Repairing Tool Set For IPhone Cellphone Hand Tool"/>
    <s v="KSh"/>
    <n v="799"/>
    <s v="KSh"/>
    <n v="999"/>
    <n v="0.2"/>
    <n v="-12"/>
    <s v="4.1 out of 5"/>
    <x v="6"/>
    <n v="200"/>
    <x v="2"/>
    <x v="19"/>
    <s v="High Discount"/>
    <m/>
    <n v="0.77122852764436567"/>
    <n v="3750"/>
    <n v="38"/>
    <n v="-0.21065932079889449"/>
  </r>
  <r>
    <s v="Konka Healty Electric Kettle, 24-hour Heat Preservation,1.5L,800W, White"/>
    <s v="KSh"/>
    <n v="3640"/>
    <s v="KSh"/>
    <n v="4588"/>
    <n v="0.21"/>
    <n v="-1"/>
    <s v="5 out of 5"/>
    <x v="7"/>
    <n v="948"/>
    <x v="0"/>
    <x v="20"/>
    <s v="High Discount"/>
    <m/>
    <n v="0.76398917981009218"/>
    <n v="3750"/>
    <n v="38"/>
    <n v="-0.22281000677788393"/>
  </r>
  <r>
    <s v="VIC Wireless Vacuum Cleaner Dual Use For Home And Car 120W High Power Powerful"/>
    <s v="KSh"/>
    <n v="1220"/>
    <s v="KSh"/>
    <n v="1555"/>
    <n v="0.22"/>
    <n v="-16"/>
    <s v="2.9 out of 5"/>
    <x v="8"/>
    <n v="335"/>
    <x v="3"/>
    <x v="21"/>
    <s v="High Discount"/>
    <m/>
    <n v="0.75734818200151732"/>
    <n v="3750"/>
    <n v="38"/>
    <n v="-0.26982991678205681"/>
  </r>
  <r>
    <s v="Pilates Cloth Bag Waterproof Durable High Capacity Purple"/>
    <s v="KSh"/>
    <n v="299"/>
    <s v="KSh"/>
    <n v="384"/>
    <n v="0.22"/>
    <m/>
    <m/>
    <x v="1"/>
    <n v="85"/>
    <x v="1"/>
    <x v="22"/>
    <s v="High Discount"/>
    <m/>
    <n v="0.75151591036811727"/>
    <n v="3750"/>
    <n v="38"/>
    <n v="-0.27501488744337127"/>
  </r>
  <r>
    <s v="Foldable Overbed Table/Desk"/>
    <s v="KSh"/>
    <n v="1650"/>
    <s v="KSh"/>
    <n v="2150"/>
    <n v="0.23"/>
    <n v="-14"/>
    <s v="4.4 out of 5"/>
    <x v="9"/>
    <n v="500"/>
    <x v="2"/>
    <x v="23"/>
    <s v="High Discount"/>
    <m/>
    <n v="0.74387487813217756"/>
    <n v="3750"/>
    <n v="38"/>
    <n v="-0.27501488744337127"/>
  </r>
  <r>
    <s v="137 Pieces Cake Decorating Tool Set Baking Supplies"/>
    <s v="KSh"/>
    <n v="2319"/>
    <s v="KSh"/>
    <n v="3032"/>
    <n v="0.24"/>
    <n v="-55"/>
    <s v="4.6 out of 5"/>
    <x v="5"/>
    <n v="713"/>
    <x v="0"/>
    <x v="24"/>
    <s v="High Discount"/>
    <m/>
    <n v="0.73676815947572272"/>
    <n v="3750"/>
    <n v="38"/>
    <n v="-0.28564403938612321"/>
  </r>
  <r>
    <s v="1PC Refrigerator Food Seal Pocket Fridge Bags"/>
    <s v="KSh"/>
    <n v="198"/>
    <s v="KSh"/>
    <n v="260"/>
    <n v="0.24"/>
    <m/>
    <m/>
    <x v="1"/>
    <n v="62"/>
    <x v="1"/>
    <x v="25"/>
    <s v="High Discount"/>
    <m/>
    <n v="0.7271626340473496"/>
    <n v="3750"/>
    <n v="38"/>
    <n v="-0.18715402969568171"/>
  </r>
  <r>
    <s v="Portable Mini Cordless Car Vacuum Cleaner - Blue"/>
    <s v="KSh"/>
    <n v="2199"/>
    <s v="KSh"/>
    <n v="2923"/>
    <n v="0.25"/>
    <n v="-24"/>
    <s v="4.6 out of 5"/>
    <x v="5"/>
    <n v="724"/>
    <x v="0"/>
    <x v="26"/>
    <s v="High Discount"/>
    <m/>
    <n v="0.7172437947167456"/>
    <n v="3750"/>
    <n v="38"/>
    <n v="-0.18715402969568171"/>
  </r>
  <r>
    <s v="Portable Home Small Air Humidifier 3-Speed Fan - Green"/>
    <s v="KSh"/>
    <n v="1740"/>
    <s v="KSh"/>
    <n v="2356"/>
    <n v="0.26"/>
    <n v="-5"/>
    <s v="4.8 out of 5"/>
    <x v="10"/>
    <n v="616"/>
    <x v="0"/>
    <x v="27"/>
    <s v="High Discount"/>
    <m/>
    <n v="0.70772794975786268"/>
    <n v="3750"/>
    <n v="38"/>
    <n v="-0.15891853369249473"/>
  </r>
  <r>
    <s v="12V 19500rpm Handheld Electric Angle Grinder Tool - UK - Yellow/Black"/>
    <s v="KSh"/>
    <n v="2799"/>
    <s v="KSh"/>
    <n v="3810"/>
    <n v="0.27"/>
    <m/>
    <m/>
    <x v="1"/>
    <n v="1011"/>
    <x v="1"/>
    <x v="28"/>
    <s v="High Discount"/>
    <m/>
    <n v="0.69923029716040686"/>
    <n v="3750"/>
    <n v="38"/>
    <n v="-0.19182539058510645"/>
  </r>
  <r>
    <s v="53 Pieces/Set Yarn Knitting Crochet Hooks With Bag - Pansies"/>
    <s v="KSh"/>
    <n v="1980"/>
    <s v="KSh"/>
    <n v="2699"/>
    <n v="0.27"/>
    <n v="-32"/>
    <s v="4.5 out of 5"/>
    <x v="0"/>
    <n v="719"/>
    <x v="0"/>
    <x v="29"/>
    <s v="High Discount"/>
    <m/>
    <n v="0.69093633390581366"/>
    <n v="3750"/>
    <n v="38"/>
    <n v="-0.19182539058510645"/>
  </r>
  <r>
    <s v="53Pcs/Set Yarn Knitting Crochet Hooks With Bag - Fortune Cat"/>
    <s v="KSh"/>
    <n v="1940"/>
    <s v="KSh"/>
    <n v="2650"/>
    <n v="0.27"/>
    <n v="-20"/>
    <s v="4.7 out of 5"/>
    <x v="11"/>
    <n v="710"/>
    <x v="0"/>
    <x v="30"/>
    <s v="High Discount"/>
    <m/>
    <n v="0.68250445411715488"/>
    <n v="3750"/>
    <n v="38"/>
    <n v="-0.13559478992857979"/>
  </r>
  <r>
    <s v="Large Lazy Inflatable Sofa Chairs PVC Lounger Seat Bag"/>
    <s v="KSh"/>
    <n v="2300"/>
    <s v="KSh"/>
    <n v="3240"/>
    <n v="0.28999999999999998"/>
    <n v="-5"/>
    <s v="3 out of 5"/>
    <x v="12"/>
    <n v="940"/>
    <x v="2"/>
    <x v="31"/>
    <s v="High Discount"/>
    <m/>
    <n v="0.67421368654357694"/>
    <n v="3750"/>
    <n v="38"/>
    <n v="-0.11303720526836848"/>
  </r>
  <r>
    <s v="52 Pieces Cake Decorating Tool Set Gift Kit Baking Supplies"/>
    <s v="KSh"/>
    <n v="1758"/>
    <s v="KSh"/>
    <n v="2499"/>
    <n v="0.3"/>
    <n v="-20"/>
    <s v="4.1 out of 5"/>
    <x v="6"/>
    <n v="741"/>
    <x v="2"/>
    <x v="32"/>
    <s v="High Discount"/>
    <m/>
    <n v="0.66776649861490744"/>
    <n v="3750"/>
    <n v="38"/>
    <n v="-0.14499971207893061"/>
  </r>
  <r>
    <s v="12 Litre Black Insulated Lunch Box"/>
    <s v="KSh"/>
    <n v="1350"/>
    <s v="KSh"/>
    <n v="1990"/>
    <n v="0.32"/>
    <n v="-13"/>
    <s v="3.8 out of 5"/>
    <x v="4"/>
    <n v="640"/>
    <x v="2"/>
    <x v="33"/>
    <s v="High Discount"/>
    <m/>
    <n v="0.66172966863304361"/>
    <n v="3750"/>
    <n v="38"/>
    <n v="-0.12293123736052929"/>
  </r>
  <r>
    <s v="Multifunction Laser Level With Adjustment Tripod"/>
    <s v="KSh"/>
    <n v="1680"/>
    <s v="KSh"/>
    <n v="2499"/>
    <n v="0.33"/>
    <n v="-9"/>
    <s v="4.2 out of 5"/>
    <x v="13"/>
    <n v="819"/>
    <x v="2"/>
    <x v="34"/>
    <s v="High Discount"/>
    <m/>
    <n v="0.65719218256124856"/>
    <n v="3750"/>
    <n v="38"/>
    <n v="-0.12462939544907523"/>
  </r>
  <r>
    <s v="60W Hot Melt Glue Sprayer - Efficient And Stable Glue Dispensing"/>
    <s v="KSh"/>
    <n v="1190"/>
    <s v="KSh"/>
    <n v="1785"/>
    <n v="0.33"/>
    <m/>
    <m/>
    <x v="1"/>
    <n v="595"/>
    <x v="1"/>
    <x v="35"/>
    <s v="High Discount"/>
    <m/>
    <n v="0.6527459596276306"/>
    <n v="3750"/>
    <n v="38"/>
    <n v="-0.14119170912244586"/>
  </r>
  <r>
    <s v="LED Solar Street Light-fake Camera"/>
    <s v="KSh"/>
    <n v="1150"/>
    <s v="KSh"/>
    <n v="1737"/>
    <n v="0.34"/>
    <m/>
    <m/>
    <x v="1"/>
    <n v="587"/>
    <x v="1"/>
    <x v="36"/>
    <s v="High Discount"/>
    <m/>
    <n v="0.64815149174202336"/>
    <n v="3750"/>
    <n v="38"/>
    <n v="-0.14119170912244586"/>
  </r>
  <r>
    <s v="100 Pcs Crochet Hook Tool Set Knitting Hook Set With Box"/>
    <s v="KSh"/>
    <n v="990"/>
    <s v="KSh"/>
    <n v="1500"/>
    <n v="0.34"/>
    <n v="-39"/>
    <s v="4.7 out of 5"/>
    <x v="11"/>
    <n v="510"/>
    <x v="0"/>
    <x v="37"/>
    <s v="High Discount"/>
    <m/>
    <n v="0.64380591339944626"/>
    <n v="3750"/>
    <n v="38"/>
    <n v="-0.14119170912244586"/>
  </r>
  <r>
    <s v="12 Litre Insulated Lunch Box Grey"/>
    <s v="KSh"/>
    <n v="980"/>
    <s v="KSh"/>
    <n v="1490"/>
    <n v="0.34"/>
    <n v="-12"/>
    <s v="4.7 out of 5"/>
    <x v="11"/>
    <n v="510"/>
    <x v="0"/>
    <x v="38"/>
    <s v="High Discount"/>
    <m/>
    <n v="0.63884864844218137"/>
    <n v="3750"/>
    <n v="38"/>
    <n v="-5.3597195384296289E-2"/>
  </r>
  <r>
    <s v="Cartoon Embroidered Mini Towel Bear Cotton Wash Cloth Hand 4pcs"/>
    <s v="KSh"/>
    <n v="1190"/>
    <s v="KSh"/>
    <n v="1810"/>
    <n v="0.34"/>
    <m/>
    <m/>
    <x v="1"/>
    <n v="620"/>
    <x v="1"/>
    <x v="39"/>
    <s v="High Discount"/>
    <m/>
    <n v="0.63411051583151012"/>
    <n v="3750"/>
    <n v="38"/>
    <n v="-5.2800360573404315E-2"/>
  </r>
  <r>
    <s v="LED Romantic Spaceship Starry Sky Projector,Children's Bedroom Night Light-Blue"/>
    <s v="KSh"/>
    <n v="880"/>
    <s v="KSh"/>
    <n v="1350"/>
    <n v="0.35"/>
    <n v="-6"/>
    <s v="4 out of 5"/>
    <x v="2"/>
    <n v="470"/>
    <x v="2"/>
    <x v="40"/>
    <s v="High Discount"/>
    <m/>
    <n v="0.62888744429930332"/>
    <n v="3750"/>
    <n v="38"/>
    <n v="-5.2800360573404315E-2"/>
  </r>
  <r>
    <s v="Electronic Digital Display Vernier Caliper"/>
    <s v="KSh"/>
    <n v="420"/>
    <s v="KSh"/>
    <n v="647"/>
    <n v="0.35"/>
    <n v="-49"/>
    <s v="4.6 out of 5"/>
    <x v="5"/>
    <n v="227"/>
    <x v="0"/>
    <x v="41"/>
    <s v="High Discount"/>
    <m/>
    <n v="0.62337395890147262"/>
    <n v="3750"/>
    <n v="38"/>
    <n v="-7.6992214063472508E-2"/>
  </r>
  <r>
    <s v="5m Waterproof Spherical LED String Lights Outdoor Ball Chain Lights Party Lighting Decoration Adjustable"/>
    <s v="KSh"/>
    <n v="1460"/>
    <s v="KSh"/>
    <n v="2290"/>
    <n v="0.36"/>
    <m/>
    <m/>
    <x v="1"/>
    <n v="830"/>
    <x v="1"/>
    <x v="42"/>
    <s v="High Discount"/>
    <m/>
    <n v="0.61735026847264052"/>
    <n v="3750"/>
    <n v="38"/>
    <n v="9.7240660688194411E-2"/>
  </r>
  <r>
    <s v="Weighing Scale Digital Bathroom Body Fat Scale USB-Black"/>
    <s v="KSh"/>
    <n v="1580"/>
    <s v="KSh"/>
    <n v="2499"/>
    <n v="0.37"/>
    <n v="-7"/>
    <s v="4.7 out of 5"/>
    <x v="11"/>
    <n v="919"/>
    <x v="0"/>
    <x v="43"/>
    <s v="High Discount"/>
    <m/>
    <n v="0.61239840399766399"/>
    <n v="3750"/>
    <n v="38"/>
    <n v="9.7240660688194411E-2"/>
  </r>
  <r>
    <s v="Desk Foldable Fan Adjustable Fan Strong Wind 3 Gear Usb"/>
    <s v="KSh"/>
    <n v="988"/>
    <s v="KSh"/>
    <n v="1580"/>
    <n v="0.37"/>
    <n v="-2"/>
    <s v="4 out of 5"/>
    <x v="2"/>
    <n v="592"/>
    <x v="2"/>
    <x v="44"/>
    <s v="High Discount"/>
    <m/>
    <n v="0.60734551048029373"/>
    <n v="3750"/>
    <n v="38"/>
    <n v="8.9534966494475357E-2"/>
  </r>
  <r>
    <s v="115  Piece Set Of Multifunctional Precision Screwdrivers"/>
    <s v="KSh"/>
    <n v="950"/>
    <s v="KSh"/>
    <n v="1525"/>
    <n v="0.38"/>
    <n v="-2"/>
    <s v="4.5 out of 5"/>
    <x v="0"/>
    <n v="575"/>
    <x v="0"/>
    <x v="45"/>
    <s v="High Discount"/>
    <n v="1602.9104477611941"/>
    <n v="0.60259458646236952"/>
    <n v="3750"/>
    <n v="38"/>
    <n v="5.6779313912882774E-2"/>
  </r>
  <r>
    <s v="2pcs Solar Street Light Flood Light Outdoor"/>
    <s v="KSh"/>
    <n v="1200"/>
    <s v="KSh"/>
    <n v="1950"/>
    <n v="0.38"/>
    <m/>
    <m/>
    <x v="1"/>
    <n v="750"/>
    <x v="1"/>
    <x v="46"/>
    <s v="High Discount"/>
    <m/>
    <n v="0.59756002333799885"/>
    <n v="3750"/>
    <n v="38"/>
    <n v="1.7112802963169783E-2"/>
  </r>
  <r>
    <s v="LASA Stainless Steel Double Wall Mount Soap Dispenser - 500ml"/>
    <s v="KSh"/>
    <n v="2750"/>
    <s v="KSh"/>
    <n v="4471"/>
    <n v="0.38"/>
    <m/>
    <m/>
    <x v="1"/>
    <n v="1721"/>
    <x v="1"/>
    <x v="47"/>
    <s v="High Discount"/>
    <m/>
    <n v="0.59321810650942242"/>
    <n v="3750"/>
    <n v="38"/>
    <n v="1.7112802963169783E-2"/>
  </r>
  <r>
    <s v="32PCS Portable Cordless Drill Set With Cyclic Battery Drive -26 Variable Speed"/>
    <s v="KSh"/>
    <n v="3750"/>
    <s v="KSh"/>
    <n v="6143"/>
    <n v="0.39"/>
    <n v="-5"/>
    <s v="3 out of 5"/>
    <x v="12"/>
    <n v="2393"/>
    <x v="2"/>
    <x v="48"/>
    <s v="High Discount"/>
    <m/>
    <n v="0.58881774770985351"/>
    <n v="3750"/>
    <n v="38"/>
    <n v="1.7112802963169783E-2"/>
  </r>
  <r>
    <s v="DIY File Folder, Office Drawer File Holder, Pen Holder, Desktop Storage Rack"/>
    <s v="KSh"/>
    <n v="1620"/>
    <s v="KSh"/>
    <n v="2690"/>
    <n v="0.4"/>
    <n v="-1"/>
    <s v="5 out of 5"/>
    <x v="7"/>
    <n v="1070"/>
    <x v="0"/>
    <x v="49"/>
    <s v="High Discount"/>
    <m/>
    <n v="0.58487875662695898"/>
    <n v="2200"/>
    <n v="38"/>
    <n v="-1.1001615586788957E-2"/>
  </r>
  <r>
    <s v="Cute Christmas Fence Garden Decorations For Holiday Home"/>
    <s v="KSh"/>
    <n v="799"/>
    <s v="KSh"/>
    <n v="1343"/>
    <n v="0.41"/>
    <m/>
    <m/>
    <x v="1"/>
    <n v="544"/>
    <x v="1"/>
    <x v="50"/>
    <s v="High Discount"/>
    <m/>
    <n v="0.58164089192977031"/>
    <n v="2200"/>
    <n v="38"/>
    <n v="-6.4930274687325401E-2"/>
  </r>
  <r>
    <s v="Punch-free Great Load Bearing Bathroom Storage Rack Wall Shelf-White"/>
    <s v="KSh"/>
    <n v="389"/>
    <s v="KSh"/>
    <n v="656"/>
    <n v="0.41"/>
    <n v="-36"/>
    <s v="4.3 out of 5"/>
    <x v="14"/>
    <n v="267"/>
    <x v="2"/>
    <x v="51"/>
    <s v="High Discount"/>
    <m/>
    <n v="0.57917317680382729"/>
    <n v="2200"/>
    <n v="38"/>
    <n v="-6.4930274687325401E-2"/>
  </r>
  <r>
    <s v="9pcs Gas Mask, For Painting, Dust, Formaldehyde Grinding, Polishing"/>
    <s v="KSh"/>
    <n v="1420"/>
    <s v="KSh"/>
    <n v="2420"/>
    <n v="0.41"/>
    <m/>
    <m/>
    <x v="1"/>
    <n v="1000"/>
    <x v="1"/>
    <x v="52"/>
    <s v="High Discount"/>
    <m/>
    <n v="0.57619504844078628"/>
    <n v="2200"/>
    <n v="38"/>
    <n v="6.776040362958452E-2"/>
  </r>
  <r>
    <s v="LASA Digital Thermometer And Hydrometer"/>
    <s v="KSh"/>
    <n v="501"/>
    <s v="KSh"/>
    <n v="860"/>
    <n v="0.42"/>
    <n v="-6"/>
    <s v="4.5 out of 5"/>
    <x v="0"/>
    <n v="359"/>
    <x v="0"/>
    <x v="53"/>
    <s v="High Discount"/>
    <m/>
    <n v="0.57260255787859859"/>
    <n v="2200"/>
    <n v="38"/>
    <n v="6.776040362958452E-2"/>
  </r>
  <r>
    <s v="4pcs Bathroom/Kitchen Towel Rack,Roll Paper Holder,Towel Bars,Hook"/>
    <s v="KSh"/>
    <n v="1860"/>
    <s v="KSh"/>
    <n v="3220"/>
    <n v="0.42"/>
    <m/>
    <m/>
    <x v="1"/>
    <n v="1360"/>
    <x v="1"/>
    <x v="54"/>
    <s v="High Discount"/>
    <m/>
    <n v="0.56856960045294413"/>
    <n v="2200"/>
    <n v="38"/>
    <n v="4.9405708327903239E-2"/>
  </r>
  <r>
    <s v="8in1 Screwdriver With LED Light"/>
    <s v="KSh"/>
    <n v="1080"/>
    <s v="KSh"/>
    <n v="1874"/>
    <n v="0.42"/>
    <m/>
    <m/>
    <x v="1"/>
    <n v="794"/>
    <x v="1"/>
    <x v="55"/>
    <s v="High Discount"/>
    <m/>
    <n v="0.56502687661876749"/>
    <n v="2200"/>
    <n v="38"/>
    <n v="4.9405708327903239E-2"/>
  </r>
  <r>
    <s v="Balloon Insert, Birthday Party Balloon Set, PU Leather"/>
    <s v="KSh"/>
    <n v="610"/>
    <s v="KSh"/>
    <n v="1060"/>
    <n v="0.42"/>
    <m/>
    <m/>
    <x v="1"/>
    <n v="450"/>
    <x v="1"/>
    <x v="56"/>
    <s v="High Discount"/>
    <m/>
    <n v="0.56162764570619617"/>
    <n v="2200"/>
    <n v="38"/>
    <n v="4.9405708327903239E-2"/>
  </r>
  <r>
    <s v="3PCS Rotary Scraper Thermomix For Kitchen"/>
    <s v="KSh"/>
    <n v="690"/>
    <s v="KSh"/>
    <n v="1200"/>
    <n v="0.43"/>
    <m/>
    <m/>
    <x v="1"/>
    <n v="510"/>
    <x v="1"/>
    <x v="57"/>
    <s v="High Discount"/>
    <m/>
    <n v="0.55787153110102494"/>
    <n v="2200"/>
    <n v="38"/>
    <n v="4.9405708327903239E-2"/>
  </r>
  <r>
    <s v="Watercolour Gold Foil Textured Print Pillow Cover"/>
    <s v="KSh"/>
    <n v="345"/>
    <s v="KSh"/>
    <n v="602"/>
    <n v="0.43"/>
    <n v="-6"/>
    <s v="2.3 out of 5"/>
    <x v="15"/>
    <n v="257"/>
    <x v="3"/>
    <x v="58"/>
    <s v="High Discount"/>
    <m/>
    <n v="0.5540604553595263"/>
    <n v="2200"/>
    <n v="38"/>
    <n v="4.9405708327903239E-2"/>
  </r>
  <r>
    <s v="Multifunctional Hanging Storage Box Storage Bag (4 Layers)"/>
    <s v="KSh"/>
    <n v="630"/>
    <s v="KSh"/>
    <n v="1100"/>
    <n v="0.43"/>
    <m/>
    <m/>
    <x v="1"/>
    <n v="470"/>
    <x v="1"/>
    <x v="59"/>
    <s v="High Discount"/>
    <m/>
    <n v="0.55029667594595211"/>
    <n v="2200"/>
    <n v="38"/>
    <n v="2.9214215814440961E-2"/>
  </r>
  <r>
    <s v="Wrought Iron Bathroom Shelf Wall Mounted Free Punch Toilet Rack"/>
    <s v="KSh"/>
    <n v="509"/>
    <s v="KSh"/>
    <n v="899"/>
    <n v="0.43"/>
    <n v="-5"/>
    <s v="3 out of 5"/>
    <x v="12"/>
    <n v="390"/>
    <x v="2"/>
    <x v="60"/>
    <s v="High Discount"/>
    <m/>
    <n v="0.54595223929721548"/>
    <n v="2200"/>
    <n v="38"/>
    <n v="2.9214215814440961E-2"/>
  </r>
  <r>
    <s v="Simple Metal Dog Art Sculpture Decoration For Home Office"/>
    <s v="KSh"/>
    <n v="499"/>
    <s v="KSh"/>
    <n v="900"/>
    <n v="0.45"/>
    <m/>
    <m/>
    <x v="1"/>
    <n v="401"/>
    <x v="1"/>
    <x v="61"/>
    <s v="High Discount"/>
    <m/>
    <n v="0.54230209304417709"/>
    <n v="2200"/>
    <n v="38"/>
    <n v="1.194828534846531E-3"/>
  </r>
  <r>
    <s v="13 In 1 Home Repair Tools Box Kit Set"/>
    <s v="KSh"/>
    <n v="1600"/>
    <s v="KSh"/>
    <n v="2929"/>
    <n v="0.45"/>
    <n v="-5"/>
    <s v="3.8 out of 5"/>
    <x v="4"/>
    <n v="1329"/>
    <x v="2"/>
    <x v="62"/>
    <s v="High Discount"/>
    <m/>
    <n v="0.53980676943774242"/>
    <n v="2200"/>
    <n v="38"/>
    <n v="1.194828534846531E-3"/>
  </r>
  <r>
    <s v="Artificial Potted Flowers Room Decorative Flowers (2 Pieces)"/>
    <s v="KSh"/>
    <n v="990"/>
    <s v="KSh"/>
    <n v="1814"/>
    <n v="0.45"/>
    <n v="-6"/>
    <s v="2.2 out of 5"/>
    <x v="16"/>
    <n v="824"/>
    <x v="3"/>
    <x v="63"/>
    <s v="High Discount"/>
    <m/>
    <n v="0.5379037986003814"/>
    <n v="2200"/>
    <n v="38"/>
    <n v="-2.1736117907198572E-2"/>
  </r>
  <r>
    <s v="Agapeon Toothbrush Holder And Toothpaste Dispenser"/>
    <s v="KSh"/>
    <n v="382"/>
    <s v="KSh"/>
    <n v="700"/>
    <n v="0.45"/>
    <n v="-17"/>
    <s v="2.6 out of 5"/>
    <x v="17"/>
    <n v="318"/>
    <x v="3"/>
    <x v="64"/>
    <s v="High Discount"/>
    <m/>
    <n v="0.53594488337313662"/>
    <n v="2200"/>
    <n v="38"/>
    <n v="-4.4309256527338005E-2"/>
  </r>
  <r>
    <s v="Peacock  Throw Pillow Cushion Case For Home Car"/>
    <s v="KSh"/>
    <n v="195"/>
    <s v="KSh"/>
    <n v="360"/>
    <n v="0.46"/>
    <n v="-2"/>
    <s v="5 out of 5"/>
    <x v="7"/>
    <n v="165"/>
    <x v="0"/>
    <x v="65"/>
    <s v="High Discount"/>
    <m/>
    <n v="0.53392413246349668"/>
    <n v="2200"/>
    <n v="38"/>
    <n v="-1.9804132778188079E-2"/>
  </r>
  <r>
    <s v="Memory Foam Neck Pillow Cover, With Pillow Core - 50*30cm"/>
    <s v="KSh"/>
    <n v="1189"/>
    <s v="KSh"/>
    <n v="2199"/>
    <n v="0.46"/>
    <n v="-1"/>
    <s v="3 out of 5"/>
    <x v="12"/>
    <n v="1010"/>
    <x v="2"/>
    <x v="66"/>
    <s v="High Discount"/>
    <m/>
    <n v="0.53212062212584987"/>
    <n v="2200"/>
    <n v="38"/>
    <n v="-6.4100674842884606E-2"/>
  </r>
  <r>
    <s v="MultiFunctional Storage Rack Multi-layer Bookshelf"/>
    <s v="KSh"/>
    <n v="2200"/>
    <s v="KSh"/>
    <n v="4080"/>
    <n v="0.46"/>
    <m/>
    <m/>
    <x v="1"/>
    <n v="1880"/>
    <x v="1"/>
    <x v="67"/>
    <s v="High Discount"/>
    <m/>
    <n v="0.53037614231179309"/>
    <n v="2200"/>
    <n v="38"/>
    <n v="-0.12401500070430195"/>
  </r>
  <r>
    <s v="7-piece Set Of Storage Bags, Travel Storage Bags, Shoe Bags"/>
    <s v="KSh"/>
    <n v="968"/>
    <s v="KSh"/>
    <n v="1814"/>
    <n v="0.47"/>
    <n v="-6"/>
    <s v="2.2 out of 5"/>
    <x v="16"/>
    <n v="846"/>
    <x v="3"/>
    <x v="68"/>
    <s v="High Discount"/>
    <m/>
    <n v="0.52840661843092585"/>
    <n v="2115"/>
    <n v="38"/>
    <n v="-0.12401500070430195"/>
  </r>
  <r>
    <s v="40cm Gold DIY Acrylic Wall Sticker Clock"/>
    <s v="KSh"/>
    <n v="552"/>
    <s v="KSh"/>
    <n v="1035"/>
    <n v="0.47"/>
    <n v="-12"/>
    <s v="4.8 out of 5"/>
    <x v="10"/>
    <n v="483"/>
    <x v="0"/>
    <x v="69"/>
    <s v="High Discount"/>
    <m/>
    <n v="0.5269454186708985"/>
    <n v="2115"/>
    <n v="38"/>
    <n v="-0.16092045860979728"/>
  </r>
  <r>
    <s v="2PCS/LOT Solar LED Outdoor Intelligent Light Controlled Wall Lamp"/>
    <s v="KSh"/>
    <n v="790"/>
    <s v="KSh"/>
    <n v="1485"/>
    <n v="0.47"/>
    <m/>
    <m/>
    <x v="1"/>
    <n v="695"/>
    <x v="1"/>
    <x v="70"/>
    <s v="High Discount"/>
    <m/>
    <n v="0.52546393718941709"/>
    <n v="2115"/>
    <n v="38"/>
    <n v="-0.17357675278530429"/>
  </r>
  <r>
    <s v="6 Layers Steel Pipe Assembling Dustproof Storage Shoe Cabinet"/>
    <s v="KSh"/>
    <n v="899"/>
    <s v="KSh"/>
    <n v="1699"/>
    <n v="0.47"/>
    <m/>
    <m/>
    <x v="1"/>
    <n v="800"/>
    <x v="1"/>
    <x v="71"/>
    <s v="High Discount"/>
    <m/>
    <n v="0.52314444598103693"/>
    <n v="2115"/>
    <n v="38"/>
    <n v="-0.17357675278530429"/>
  </r>
  <r>
    <s v="Black Simple Water Cup Wine Coaster Anti Slip Absorbent"/>
    <s v="KSh"/>
    <n v="169"/>
    <s v="KSh"/>
    <n v="320"/>
    <n v="0.47"/>
    <m/>
    <m/>
    <x v="1"/>
    <n v="151"/>
    <x v="1"/>
    <x v="72"/>
    <s v="High Discount"/>
    <m/>
    <n v="0.5210503660561342"/>
    <n v="2115"/>
    <n v="38"/>
    <n v="-0.17357675278530429"/>
  </r>
  <r>
    <s v="Metal Decorative Hooks Key Hangers Entryway Wall Hooks Towel Hooks - Home"/>
    <s v="KSh"/>
    <n v="527"/>
    <s v="KSh"/>
    <n v="999"/>
    <n v="0.47"/>
    <n v="-14"/>
    <s v="4.1 out of 5"/>
    <x v="6"/>
    <n v="472"/>
    <x v="2"/>
    <x v="73"/>
    <s v="High Discount"/>
    <m/>
    <n v="0.51906337557403204"/>
    <n v="2115"/>
    <n v="38"/>
    <n v="-0.17357675278530429"/>
  </r>
  <r>
    <s v="Electric LED UV Mosquito Killer Lamp, Outdoor/Indoor Fly Killer Trap Light -USB"/>
    <s v="KSh"/>
    <n v="1570"/>
    <s v="KSh"/>
    <n v="2988"/>
    <n v="0.47"/>
    <n v="-7"/>
    <s v="2.1 out of 5"/>
    <x v="18"/>
    <n v="1418"/>
    <x v="3"/>
    <x v="74"/>
    <s v="High Discount"/>
    <m/>
    <n v="0.51713854825237937"/>
    <n v="2115"/>
    <n v="38"/>
    <n v="-0.17569792179968105"/>
  </r>
  <r>
    <s v="Sewing Machine Needle Threader Stitch Insertion Tool Automatic Quick Sewing"/>
    <s v="KSh"/>
    <n v="105"/>
    <s v="KSh"/>
    <n v="200"/>
    <n v="0.48"/>
    <m/>
    <m/>
    <x v="1"/>
    <n v="95"/>
    <x v="1"/>
    <x v="75"/>
    <s v="High Discount"/>
    <m/>
    <n v="0.51544621580846917"/>
    <n v="2115"/>
    <n v="38"/>
    <n v="-0.21957771047948046"/>
  </r>
  <r>
    <s v="LED Eye Protection  Desk Lamp , Study, Reading, USB Fan - Double Pen Holder"/>
    <s v="KSh"/>
    <n v="1820"/>
    <s v="KSh"/>
    <n v="3490"/>
    <n v="0.48"/>
    <n v="-9"/>
    <s v="4.3 out of 5"/>
    <x v="14"/>
    <n v="1670"/>
    <x v="2"/>
    <x v="76"/>
    <s v="High Discount"/>
    <m/>
    <n v="0.5137956522013839"/>
    <n v="2115"/>
    <n v="38"/>
    <n v="-0.21957771047948046"/>
  </r>
  <r>
    <s v="Christmas Fence Garden Decorations Outdoor For Holiday Home"/>
    <s v="KSh"/>
    <n v="699"/>
    <s v="KSh"/>
    <n v="1343"/>
    <n v="0.48"/>
    <m/>
    <m/>
    <x v="1"/>
    <n v="644"/>
    <x v="1"/>
    <x v="77"/>
    <s v="High Discount"/>
    <m/>
    <n v="0.51252934068529032"/>
    <n v="2115"/>
    <n v="38"/>
    <n v="-0.2582668656715848"/>
  </r>
  <r>
    <s v="Portable Wine Table With Folding Round Table"/>
    <s v="KSh"/>
    <n v="1300"/>
    <s v="KSh"/>
    <n v="2500"/>
    <n v="0.48"/>
    <m/>
    <m/>
    <x v="1"/>
    <n v="1200"/>
    <x v="1"/>
    <x v="78"/>
    <s v="High Discount"/>
    <m/>
    <n v="0.5113704321078707"/>
    <n v="2115"/>
    <n v="38"/>
    <n v="-0.2582668656715848"/>
  </r>
  <r>
    <s v="7PCS Silicone Thumb Knife Finger Protector Vegetable Harvesting Knife"/>
    <s v="KSh"/>
    <n v="230"/>
    <s v="KSh"/>
    <n v="450"/>
    <n v="0.49"/>
    <m/>
    <m/>
    <x v="1"/>
    <n v="220"/>
    <x v="1"/>
    <x v="79"/>
    <s v="High Discount"/>
    <m/>
    <n v="0.51025344506290582"/>
    <n v="2115"/>
    <n v="38"/>
    <n v="-0.2582668656715848"/>
  </r>
  <r>
    <s v="4 Piece Coloured Stainless Steel Kitchenware Set"/>
    <s v="KSh"/>
    <n v="248"/>
    <s v="KSh"/>
    <n v="486"/>
    <n v="0.49"/>
    <m/>
    <m/>
    <x v="1"/>
    <n v="238"/>
    <x v="1"/>
    <x v="80"/>
    <s v="High Discount"/>
    <m/>
    <n v="0.51011841419870829"/>
    <n v="2115"/>
    <n v="38"/>
    <n v="-0.2582668656715848"/>
  </r>
  <r>
    <s v="Cartoon Car Decoration Cute Individuality For Car Home Desk"/>
    <s v="KSh"/>
    <n v="274"/>
    <s v="KSh"/>
    <n v="537"/>
    <n v="0.49"/>
    <m/>
    <m/>
    <x v="1"/>
    <n v="263"/>
    <x v="1"/>
    <x v="81"/>
    <s v="High Discount"/>
    <m/>
    <n v="0.51007435270987933"/>
    <n v="2115"/>
    <n v="38"/>
    <n v="-0.2582668656715848"/>
  </r>
  <r>
    <s v="4M Float Switch Water Level Controller -Water Tank"/>
    <s v="KSh"/>
    <n v="475"/>
    <s v="KSh"/>
    <n v="931"/>
    <n v="0.49"/>
    <m/>
    <m/>
    <x v="1"/>
    <n v="456"/>
    <x v="1"/>
    <x v="82"/>
    <s v="High Discount"/>
    <m/>
    <n v="0.51003394535341351"/>
    <n v="2115"/>
    <n v="38"/>
    <n v="-0.2582668656715848"/>
  </r>
  <r>
    <s v="Baby Early Education Shape And Color Cognitive Training Toys"/>
    <s v="KSh"/>
    <n v="525"/>
    <s v="KSh"/>
    <n v="1029"/>
    <n v="0.49"/>
    <m/>
    <m/>
    <x v="1"/>
    <n v="504"/>
    <x v="1"/>
    <x v="82"/>
    <s v="High Discount"/>
    <m/>
    <n v="0.50998199635693831"/>
    <n v="2115"/>
    <n v="38"/>
    <n v="-0.2582668656715848"/>
  </r>
  <r>
    <s v="Creative Owl Shape Keychain Black"/>
    <s v="KSh"/>
    <n v="176"/>
    <s v="KSh"/>
    <n v="345"/>
    <n v="0.49"/>
    <m/>
    <m/>
    <x v="1"/>
    <n v="169"/>
    <x v="1"/>
    <x v="83"/>
    <s v="High Discount"/>
    <m/>
    <n v="0.50969595450717031"/>
    <n v="2115"/>
    <n v="38"/>
    <n v="-0.2582668656715848"/>
  </r>
  <r>
    <s v="Angle Measuring Tool Full Metal Multi Angle Measuring Tool"/>
    <s v="KSh"/>
    <n v="657"/>
    <s v="KSh"/>
    <n v="1288"/>
    <n v="0.49"/>
    <m/>
    <m/>
    <x v="1"/>
    <n v="631"/>
    <x v="1"/>
    <x v="84"/>
    <s v="High Discount"/>
    <m/>
    <n v="0.50856874033647781"/>
    <n v="2115"/>
    <n v="38"/>
    <n v="-0.2582668656715848"/>
  </r>
  <r>
    <s v="Household Pineapple Peeler Peeler"/>
    <s v="KSh"/>
    <n v="330"/>
    <s v="KSh"/>
    <n v="647"/>
    <n v="0.49"/>
    <n v="-1"/>
    <s v="4 out of 5"/>
    <x v="2"/>
    <n v="317"/>
    <x v="2"/>
    <x v="85"/>
    <s v="High Discount"/>
    <m/>
    <n v="0.50744727725849303"/>
    <n v="2115"/>
    <n v="38"/>
    <n v="-0.2582668656715848"/>
  </r>
  <r>
    <s v="LASA Aluminum Folding Truck Hand Cart - 68kg Max"/>
    <s v="KSh"/>
    <n v="2025"/>
    <s v="KSh"/>
    <n v="3971"/>
    <n v="0.49"/>
    <n v="-3"/>
    <s v="5 out of 5"/>
    <x v="7"/>
    <n v="1946"/>
    <x v="0"/>
    <x v="86"/>
    <s v="High Discount"/>
    <m/>
    <n v="0.50633101416386816"/>
    <n v="2115"/>
    <n v="38"/>
    <n v="-0.32845550125500539"/>
  </r>
  <r>
    <s v="Bedroom Simple Floor Hanging Clothes Rack Single Pole Hat Rack - White"/>
    <s v="KSh"/>
    <n v="979"/>
    <s v="KSh"/>
    <n v="1920"/>
    <n v="0.49"/>
    <n v="-1"/>
    <s v="5 out of 5"/>
    <x v="7"/>
    <n v="941"/>
    <x v="0"/>
    <x v="87"/>
    <s v="High Discount"/>
    <m/>
    <n v="0.50522577898661092"/>
    <n v="2115"/>
    <n v="38"/>
    <n v="-0.40784781746295673"/>
  </r>
  <r>
    <s v="Angle Measuring Tool Full Metal Multi Angle Measuring Tool"/>
    <s v="KSh"/>
    <n v="799"/>
    <s v="KSh"/>
    <n v="1567"/>
    <n v="0.49"/>
    <m/>
    <m/>
    <x v="1"/>
    <n v="768"/>
    <x v="1"/>
    <x v="88"/>
    <s v="High Discount"/>
    <m/>
    <n v="0.50412624194957389"/>
    <n v="2115"/>
    <n v="38"/>
    <n v="-0.53240545264822692"/>
  </r>
  <r>
    <s v="Car Phone Charging Stand"/>
    <s v="KSh"/>
    <n v="671"/>
    <s v="KSh"/>
    <n v="1316"/>
    <n v="0.49"/>
    <m/>
    <m/>
    <x v="1"/>
    <n v="645"/>
    <x v="1"/>
    <x v="89"/>
    <s v="High Discount"/>
    <m/>
    <n v="0.50297162945577822"/>
    <n v="2115"/>
    <n v="38"/>
    <n v="-0.53240545264822692"/>
  </r>
  <r>
    <s v="120W Cordless Vacuum Cleaners Handheld Electric Vacuum Cleaner"/>
    <s v="KSh"/>
    <n v="445"/>
    <s v="KSh"/>
    <n v="873"/>
    <n v="0.49"/>
    <n v="-69"/>
    <s v="2.8 out of 5"/>
    <x v="19"/>
    <n v="428"/>
    <x v="3"/>
    <x v="90"/>
    <s v="High Discount"/>
    <m/>
    <n v="0.50168884210916109"/>
    <n v="2115"/>
    <n v="38"/>
    <n v="-0.53240545264822692"/>
  </r>
  <r>
    <s v="3D Waterproof EVA Plastic Shower Curtain 1.8*2Mtrs"/>
    <s v="KSh"/>
    <n v="998"/>
    <s v="KSh"/>
    <n v="1966"/>
    <n v="0.49"/>
    <n v="-44"/>
    <s v="4.6 out of 5"/>
    <x v="5"/>
    <n v="968"/>
    <x v="0"/>
    <x v="91"/>
    <s v="High Discount"/>
    <m/>
    <n v="0.49898257280857083"/>
    <n v="2115"/>
    <n v="38"/>
    <n v="-0.33221205232380052"/>
  </r>
  <r>
    <s v="Wall-mounted Sticker Punch-free Plug Fixer"/>
    <s v="KSh"/>
    <n v="450"/>
    <s v="KSh"/>
    <n v="900"/>
    <n v="0.5"/>
    <n v="-1"/>
    <s v="2 out of 5"/>
    <x v="20"/>
    <n v="450"/>
    <x v="3"/>
    <x v="92"/>
    <s v="High Discount"/>
    <m/>
    <n v="0.49638962711218615"/>
    <n v="2115"/>
    <n v="38"/>
    <n v="0.3580861607867068"/>
  </r>
  <r>
    <s v="380ML USB Rechargeable Portable Small Blenders And Juicers"/>
    <s v="KSh"/>
    <n v="1000"/>
    <s v="KSh"/>
    <n v="2000"/>
    <n v="0.5"/>
    <n v="-7"/>
    <s v="2.3 out of 5"/>
    <x v="15"/>
    <n v="1000"/>
    <x v="3"/>
    <x v="92"/>
    <s v="High Discount"/>
    <m/>
    <n v="0.49393864672002924"/>
    <n v="2115"/>
    <n v="38"/>
    <n v="0.17675728298723531"/>
  </r>
  <r>
    <s v="Modern Sofa Throw Pillow Cover-45x45cm-Blue&amp;Red"/>
    <s v="KSh"/>
    <n v="238"/>
    <s v="KSh"/>
    <n v="476"/>
    <n v="0.5"/>
    <m/>
    <m/>
    <x v="1"/>
    <n v="238"/>
    <x v="1"/>
    <x v="92"/>
    <s v="High Discount"/>
    <m/>
    <n v="0.49116086894225153"/>
    <n v="2115"/>
    <n v="38"/>
    <n v="0.14652540898788771"/>
  </r>
  <r>
    <s v="Wall Clock With Hidden Safe Box"/>
    <s v="KSh"/>
    <n v="850"/>
    <s v="KSh"/>
    <n v="1700"/>
    <n v="0.5"/>
    <m/>
    <m/>
    <x v="1"/>
    <n v="850"/>
    <x v="1"/>
    <x v="92"/>
    <s v="High Discount"/>
    <m/>
    <n v="0.4883830911644737"/>
    <n v="2115"/>
    <n v="38"/>
    <n v="0.14652540898788771"/>
  </r>
  <r>
    <s v="2PCS Ice Silk Square Cushion Cover Pillowcases - 65x65cm"/>
    <s v="KSh"/>
    <n v="1200"/>
    <s v="KSh"/>
    <n v="2400"/>
    <n v="0.5"/>
    <m/>
    <m/>
    <x v="1"/>
    <n v="1200"/>
    <x v="1"/>
    <x v="92"/>
    <s v="High Discount"/>
    <m/>
    <n v="0.48443898478629027"/>
    <n v="2115"/>
    <n v="38"/>
    <n v="0.14652540898788771"/>
  </r>
  <r>
    <s v="Christmas Elk Fence Yard Lawn Decorations Cute For Holidays"/>
    <s v="KSh"/>
    <n v="999"/>
    <s v="KSh"/>
    <n v="2000"/>
    <n v="0.5"/>
    <m/>
    <m/>
    <x v="1"/>
    <n v="1001"/>
    <x v="1"/>
    <x v="93"/>
    <s v="High Discount"/>
    <m/>
    <n v="0.47945133046530258"/>
    <n v="2115"/>
    <n v="38"/>
    <n v="0.14652540898788771"/>
  </r>
  <r>
    <s v="Brush &amp; Paintbrush Cleaning Tool Pink"/>
    <s v="KSh"/>
    <n v="299"/>
    <s v="KSh"/>
    <n v="600"/>
    <n v="0.5"/>
    <m/>
    <m/>
    <x v="1"/>
    <n v="301"/>
    <x v="1"/>
    <x v="94"/>
    <s v="High Discount"/>
    <m/>
    <n v="0.47450688602085811"/>
    <n v="2115"/>
    <n v="38"/>
    <n v="0.14652540898788771"/>
  </r>
  <r>
    <s v="Anti-Skid Absorbent Insulation Coaster  For Home Office"/>
    <s v="KSh"/>
    <n v="332"/>
    <s v="KSh"/>
    <n v="684"/>
    <n v="0.51"/>
    <n v="-2"/>
    <s v="5 out of 5"/>
    <x v="7"/>
    <n v="352"/>
    <x v="0"/>
    <x v="95"/>
    <s v="High Discount"/>
    <m/>
    <n v="0.46913651565048781"/>
    <n v="2115"/>
    <n v="38"/>
    <n v="0.14652540898788771"/>
  </r>
  <r>
    <s v="Exfoliate And Exfoliate Face Towel - Black"/>
    <s v="KSh"/>
    <n v="185"/>
    <s v="KSh"/>
    <n v="382"/>
    <n v="0.52"/>
    <n v="-9"/>
    <s v="4.3 out of 5"/>
    <x v="14"/>
    <n v="197"/>
    <x v="2"/>
    <x v="96"/>
    <s v="High Discount"/>
    <m/>
    <n v="0.46468455821059174"/>
    <n v="2115"/>
    <n v="38"/>
    <n v="-0.10849899253690788"/>
  </r>
  <r>
    <s v="Intelligent  LED Body Sensor Wireless Lighting Night Light USB"/>
    <s v="KSh"/>
    <n v="325"/>
    <s v="KSh"/>
    <n v="680"/>
    <n v="0.52"/>
    <n v="-15"/>
    <s v="2.7 out of 5"/>
    <x v="21"/>
    <n v="355"/>
    <x v="3"/>
    <x v="97"/>
    <s v="High Discount"/>
    <m/>
    <n v="0.45474545555770202"/>
    <n v="2115"/>
    <n v="38"/>
    <n v="-0.1445737663764414"/>
  </r>
  <r>
    <s v="Classic Black Cat Cotton Hemp Pillow Case For Home Car"/>
    <s v="KSh"/>
    <n v="171"/>
    <s v="KSh"/>
    <n v="360"/>
    <n v="0.53"/>
    <n v="-2"/>
    <s v="5 out of 5"/>
    <x v="7"/>
    <n v="189"/>
    <x v="0"/>
    <x v="98"/>
    <s v="High Discount"/>
    <m/>
    <n v="0.44162480645417879"/>
    <n v="2115"/>
    <n v="38"/>
    <n v="0.1701904058475773"/>
  </r>
  <r>
    <s v="3PCS Single Head Knitting Crochet Sweater Needle Set"/>
    <s v="KSh"/>
    <n v="38"/>
    <s v="KSh"/>
    <n v="80"/>
    <n v="0.53"/>
    <n v="-13"/>
    <s v="3.3 out of 5"/>
    <x v="22"/>
    <n v="42"/>
    <x v="2"/>
    <x v="98"/>
    <s v="High Discount"/>
    <m/>
    <n v="0.4374529072609511"/>
    <n v="2115"/>
    <n v="38"/>
    <n v="-0.38373341377399628"/>
  </r>
  <r>
    <s v="Mythco 120COB Solar Wall Ligt With Motion Sensor And Remote Control 3 Modes"/>
    <s v="KSh"/>
    <n v="458"/>
    <s v="KSh"/>
    <n v="986"/>
    <n v="0.54"/>
    <n v="-10"/>
    <s v="3 out of 5"/>
    <x v="12"/>
    <n v="528"/>
    <x v="2"/>
    <x v="99"/>
    <s v="High Discount"/>
    <m/>
    <n v="0.43208903686965838"/>
    <n v="2115"/>
    <n v="199"/>
    <n v="0.15045058748315701"/>
  </r>
  <r>
    <s v="LASA 3 Tier Bamboo Shoe Bench Storage Shelf"/>
    <s v="KSh"/>
    <n v="2048"/>
    <s v="KSh"/>
    <n v="4500"/>
    <n v="0.54"/>
    <n v="-7"/>
    <s v="4.3 out of 5"/>
    <x v="14"/>
    <n v="2452"/>
    <x v="2"/>
    <x v="100"/>
    <s v="High Discount"/>
    <m/>
    <n v="0.42668670258187663"/>
    <n v="2115"/>
    <n v="199"/>
    <n v="0.96597867931929693"/>
  </r>
  <r>
    <s v="LASA FOLDING TABLE SERVING STAND"/>
    <s v="KSh"/>
    <n v="1274"/>
    <s v="KSh"/>
    <n v="2800"/>
    <n v="0.55000000000000004"/>
    <n v="-5"/>
    <s v="4.8 out of 5"/>
    <x v="10"/>
    <n v="1526"/>
    <x v="0"/>
    <x v="101"/>
    <s v="High Discount"/>
    <m/>
    <n v="0.42100182087602978"/>
    <n v="2115"/>
    <n v="199"/>
    <n v="1"/>
  </r>
  <r>
    <s v="5-PCS Stainless Steel Cooking Pot Set With Steamed Slices"/>
    <s v="KSh"/>
    <n v="2115"/>
    <s v="KSh"/>
    <n v="4700"/>
    <n v="0.55000000000000004"/>
    <n v="-13"/>
    <s v="2.1 out of 5"/>
    <x v="18"/>
    <n v="2585"/>
    <x v="3"/>
    <x v="102"/>
    <s v="High Discount"/>
    <m/>
    <n v="0.41250227609503715"/>
    <n v="2115"/>
    <n v="199"/>
    <e v="#DIV/0!"/>
  </r>
  <r>
    <s v="Simple Metal Dog Art Sculpture Decoration For Home Office"/>
    <s v="KSh"/>
    <n v="399"/>
    <s v="KSh"/>
    <n v="896"/>
    <n v="0.55000000000000004"/>
    <m/>
    <m/>
    <x v="1"/>
    <n v="497"/>
    <x v="1"/>
    <x v="103"/>
    <s v="High Discount"/>
    <m/>
    <n v="0.40000303479338289"/>
    <n v="399"/>
    <n v="199"/>
    <e v="#DIV/0!"/>
  </r>
  <r>
    <s v="Creative Owl Shape Keychain Black"/>
    <s v="KSh"/>
    <n v="199"/>
    <s v="KSh"/>
    <n v="504"/>
    <n v="0.61"/>
    <m/>
    <m/>
    <x v="1"/>
    <n v="305"/>
    <x v="1"/>
    <x v="104"/>
    <s v="Medium Discount"/>
    <m/>
    <n v="0.37734830219007431"/>
    <n v="199"/>
    <n v="199"/>
    <e v="#DIV/0!"/>
  </r>
  <r>
    <s v="6 In 1 Bottle Can Opener Multifunctional Easy Opener"/>
    <s v="KSh"/>
    <n v="199"/>
    <s v="KSh"/>
    <n v="553"/>
    <n v="0.64"/>
    <m/>
    <m/>
    <x v="1"/>
    <n v="354"/>
    <x v="1"/>
    <x v="105"/>
    <s v="Medium Discount"/>
    <m/>
    <n v="0.35985533453887886"/>
    <n v="199"/>
    <n v="199"/>
    <e v="#DIV/0!"/>
  </r>
  <r>
    <m/>
    <m/>
    <m/>
    <m/>
    <m/>
    <m/>
    <m/>
    <m/>
    <x v="23"/>
    <m/>
    <x v="4"/>
    <x v="106"/>
    <m/>
    <m/>
    <m/>
    <m/>
    <m/>
    <m/>
  </r>
  <r>
    <m/>
    <m/>
    <m/>
    <m/>
    <m/>
    <m/>
    <m/>
    <m/>
    <x v="23"/>
    <m/>
    <x v="4"/>
    <x v="106"/>
    <m/>
    <m/>
    <m/>
    <m/>
    <m/>
    <m/>
  </r>
  <r>
    <m/>
    <m/>
    <m/>
    <m/>
    <m/>
    <m/>
    <m/>
    <m/>
    <x v="23"/>
    <m/>
    <x v="4"/>
    <x v="106"/>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6CF985-7B33-3B43-B8BA-7ACEEE03CFEC}"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ategory">
  <location ref="A3:D9" firstHeaderRow="0" firstDataRow="1" firstDataCol="1"/>
  <pivotFields count="18">
    <pivotField showAll="0"/>
    <pivotField showAll="0"/>
    <pivotField showAll="0"/>
    <pivotField showAll="0"/>
    <pivotField showAll="0"/>
    <pivotField dataField="1" showAll="0">
      <items count="48">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x="46"/>
        <item t="default"/>
      </items>
    </pivotField>
    <pivotField showAll="0"/>
    <pivotField showAll="0"/>
    <pivotField dataField="1" showAll="0"/>
    <pivotField showAll="0"/>
    <pivotField axis="axisRow" dataField="1" showAll="0">
      <items count="6">
        <item x="1"/>
        <item x="0"/>
        <item x="3"/>
        <item x="2"/>
        <item x="4"/>
        <item t="default"/>
      </items>
    </pivotField>
    <pivotField showAll="0"/>
    <pivotField showAll="0"/>
    <pivotField showAll="0"/>
    <pivotField showAll="0"/>
    <pivotField showAll="0"/>
    <pivotField showAll="0"/>
    <pivotField showAll="0"/>
  </pivotFields>
  <rowFields count="1">
    <field x="10"/>
  </rowFields>
  <rowItems count="6">
    <i>
      <x/>
    </i>
    <i>
      <x v="1"/>
    </i>
    <i>
      <x v="2"/>
    </i>
    <i>
      <x v="3"/>
    </i>
    <i>
      <x v="4"/>
    </i>
    <i t="grand">
      <x/>
    </i>
  </rowItems>
  <colFields count="1">
    <field x="-2"/>
  </colFields>
  <colItems count="3">
    <i>
      <x/>
    </i>
    <i i="1">
      <x v="1"/>
    </i>
    <i i="2">
      <x v="2"/>
    </i>
  </colItems>
  <dataFields count="3">
    <dataField name="Count of Category" fld="10" subtotal="count" baseField="0" baseItem="0"/>
    <dataField name="Average of Discount" fld="5" subtotal="average" baseField="0" baseItem="0"/>
    <dataField name="Average of Ratings"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81F2BC-9263-4F4B-822C-629AD7C53AC1}"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T5:V11" firstHeaderRow="0" firstDataRow="1" firstDataCol="1"/>
  <pivotFields count="18">
    <pivotField showAll="0"/>
    <pivotField showAll="0"/>
    <pivotField showAll="0"/>
    <pivotField showAll="0"/>
    <pivotField showAll="0"/>
    <pivotField showAll="0"/>
    <pivotField showAll="0"/>
    <pivotField showAll="0"/>
    <pivotField dataField="1" showAll="0">
      <items count="25">
        <item x="20"/>
        <item x="18"/>
        <item x="16"/>
        <item x="15"/>
        <item x="3"/>
        <item x="17"/>
        <item x="21"/>
        <item x="19"/>
        <item x="8"/>
        <item x="12"/>
        <item x="22"/>
        <item x="4"/>
        <item x="2"/>
        <item x="6"/>
        <item x="13"/>
        <item x="14"/>
        <item x="9"/>
        <item x="0"/>
        <item x="5"/>
        <item x="11"/>
        <item x="10"/>
        <item x="7"/>
        <item x="1"/>
        <item x="23"/>
        <item t="default"/>
      </items>
    </pivotField>
    <pivotField showAll="0"/>
    <pivotField axis="axisRow" showAll="0">
      <items count="6">
        <item x="2"/>
        <item x="0"/>
        <item x="3"/>
        <item x="1"/>
        <item x="4"/>
        <item t="default"/>
      </items>
    </pivotField>
    <pivotField dataField="1" showAll="0">
      <items count="108">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0"/>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106"/>
        <item t="default"/>
      </items>
    </pivotField>
    <pivotField showAll="0"/>
    <pivotField showAll="0"/>
    <pivotField showAll="0"/>
    <pivotField showAll="0"/>
    <pivotField showAll="0"/>
    <pivotField showAll="0"/>
  </pivotFields>
  <rowFields count="1">
    <field x="10"/>
  </rowFields>
  <rowItems count="6">
    <i>
      <x/>
    </i>
    <i>
      <x v="1"/>
    </i>
    <i>
      <x v="2"/>
    </i>
    <i>
      <x v="3"/>
    </i>
    <i>
      <x v="4"/>
    </i>
    <i t="grand">
      <x/>
    </i>
  </rowItems>
  <colFields count="1">
    <field x="-2"/>
  </colFields>
  <colItems count="2">
    <i>
      <x/>
    </i>
    <i i="1">
      <x v="1"/>
    </i>
  </colItems>
  <dataFields count="2">
    <dataField name="Average of Category - Discount %" fld="11" subtotal="average" baseField="0" baseItem="0"/>
    <dataField name="Average of Ratings" fld="8" subtotal="average" baseField="0" baseItem="0"/>
  </dataFields>
  <formats count="1">
    <format dxfId="15">
      <pivotArea collapsedLevelsAreSubtotals="1" fieldPosition="0">
        <references count="2">
          <reference field="4294967294" count="1" selected="0">
            <x v="1"/>
          </reference>
          <reference field="10"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564A2C3-626C-2E46-A29E-1E17AEC53EBA}" sourceName="Category">
  <extLst>
    <x:ext xmlns:x15="http://schemas.microsoft.com/office/spreadsheetml/2010/11/main" uri="{2F2917AC-EB37-4324-AD4E-5DD8C200BD13}">
      <x15:tableSlicerCache tableId="1" column="1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__Discount" xr10:uid="{E4067EC1-6CD0-8C48-BB11-F84DE36756B8}" sourceName="Category - Discount">
  <extLst>
    <x:ext xmlns:x15="http://schemas.microsoft.com/office/spreadsheetml/2010/11/main" uri="{2F2917AC-EB37-4324-AD4E-5DD8C200BD13}">
      <x15:tableSlicerCache tableId="1"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DF20FB1-7387-2242-B7CC-AB7B411238E1}" cache="Slicer_Category" caption="Category" rowHeight="230716"/>
  <slicer name="Category - Discount" xr10:uid="{4863D80F-1761-5442-8B90-0EA469F93DAA}" cache="Slicer_Category___Discount" caption="Category - Discount"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DF3A1EE-276F-284F-B54E-38F0E425A004}" cache="Slicer_Category" caption="Category"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E93352-7447-6F4C-A3E8-599D008DB557}" name="Table1" displayName="Table1" ref="A1:M113" totalsRowShown="0" headerRowDxfId="14" headerRowBorderDxfId="13" tableBorderDxfId="12">
  <autoFilter ref="A1:M113" xr:uid="{4016E57A-31A7-6647-AFFF-4FFC6CC68E8D}">
    <filterColumn colId="10">
      <filters>
        <filter val="Excellent"/>
      </filters>
    </filterColumn>
  </autoFilter>
  <tableColumns count="13">
    <tableColumn id="1" xr3:uid="{9616F692-90CD-FA43-B505-9539D7464640}" name="Product" dataDxfId="11"/>
    <tableColumn id="2" xr3:uid="{36C90818-59F7-A54E-9B9D-079E00115124}" name="Curr" dataDxfId="10"/>
    <tableColumn id="3" xr3:uid="{4CD25993-50D2-E844-87DE-50C3C5834B36}" name="Current Price"/>
    <tableColumn id="4" xr3:uid="{AEA79933-B206-A747-A4C8-01FF12618325}" name="old" dataDxfId="9"/>
    <tableColumn id="5" xr3:uid="{B780A1AB-E420-374C-81AE-9B2923CA0889}" name="old price" dataDxfId="8"/>
    <tableColumn id="6" xr3:uid="{E7FA86B4-2175-7542-85A9-6B729FB5DDF8}" name="Discount" dataDxfId="7"/>
    <tableColumn id="7" xr3:uid="{95805803-037E-2448-A587-14EC9976BB33}" name="Review" dataDxfId="6"/>
    <tableColumn id="8" xr3:uid="{429DA907-355C-3B41-B8C9-2286BC57A075}" name="Ratingd" dataDxfId="5"/>
    <tableColumn id="9" xr3:uid="{A5D17F4E-4DBF-6E43-A0AB-DFEFB7CA6743}" name="Ratings" dataDxfId="4">
      <calculatedColumnFormula>VALUE(LEFT(H2, FIND(" ", H2)-1))</calculatedColumnFormula>
    </tableColumn>
    <tableColumn id="10" xr3:uid="{78F6AB5F-4000-D443-A1EE-124AAFACE0B7}" name="Absolute discount" dataDxfId="3">
      <calculatedColumnFormula>E2-C2</calculatedColumnFormula>
    </tableColumn>
    <tableColumn id="11" xr3:uid="{9F3B09A4-1C8B-F746-99FC-D8D061493C23}" name="Category" dataDxfId="2">
      <calculatedColumnFormula>IF(I2&lt;3,"Poor",IF(I2&lt;4.5,"Average","Excellent"))</calculatedColumnFormula>
    </tableColumn>
    <tableColumn id="12" xr3:uid="{2F3F924E-9666-8B49-8E6E-5C4052F8BC86}" name="Category - Discount" dataDxfId="1" dataCellStyle="Percent">
      <calculatedColumnFormula>C2/E2</calculatedColumnFormula>
    </tableColumn>
    <tableColumn id="13" xr3:uid="{55F21D60-F560-9342-9BC3-AC871792065A}" name="Category - Discount2" dataDxfId="0">
      <calculatedColumnFormula>IF(L2&lt;20%,"Low Discount",IF(L2&lt;=40%,"Medium Discount","High Discount"))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2.xml"/><Relationship Id="rId5" Type="http://schemas.openxmlformats.org/officeDocument/2006/relationships/comments" Target="../comments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FCAA6-2F3A-3446-8584-016C5E996628}">
  <dimension ref="A3:D9"/>
  <sheetViews>
    <sheetView tabSelected="1" workbookViewId="0">
      <selection activeCell="G23" sqref="G23"/>
    </sheetView>
  </sheetViews>
  <sheetFormatPr baseColWidth="10" defaultRowHeight="15" x14ac:dyDescent="0.2"/>
  <cols>
    <col min="1" max="1" width="10.5" bestFit="1" customWidth="1"/>
    <col min="2" max="2" width="14.83203125" bestFit="1" customWidth="1"/>
    <col min="3" max="3" width="16.6640625" bestFit="1" customWidth="1"/>
    <col min="4" max="4" width="15.1640625" bestFit="1" customWidth="1"/>
    <col min="6" max="6" width="6.6640625" bestFit="1" customWidth="1"/>
    <col min="7" max="114" width="83.6640625" bestFit="1" customWidth="1"/>
    <col min="115" max="115" width="10" bestFit="1" customWidth="1"/>
  </cols>
  <sheetData>
    <row r="3" spans="1:4" x14ac:dyDescent="0.2">
      <c r="A3" s="13" t="s">
        <v>331</v>
      </c>
      <c r="B3" t="s">
        <v>338</v>
      </c>
      <c r="C3" t="s">
        <v>346</v>
      </c>
      <c r="D3" t="s">
        <v>347</v>
      </c>
    </row>
    <row r="4" spans="1:4" x14ac:dyDescent="0.2">
      <c r="A4" s="14" t="s">
        <v>340</v>
      </c>
      <c r="B4" s="12">
        <v>22</v>
      </c>
      <c r="C4" s="12">
        <v>0.38045454545454549</v>
      </c>
      <c r="D4" s="12">
        <v>3.8090909090909082</v>
      </c>
    </row>
    <row r="5" spans="1:4" x14ac:dyDescent="0.2">
      <c r="A5" s="14" t="s">
        <v>341</v>
      </c>
      <c r="B5" s="12">
        <v>23</v>
      </c>
      <c r="C5" s="12">
        <v>0.3765217391304348</v>
      </c>
      <c r="D5" s="12">
        <v>4.7478260869565219</v>
      </c>
    </row>
    <row r="6" spans="1:4" x14ac:dyDescent="0.2">
      <c r="A6" s="14" t="s">
        <v>342</v>
      </c>
      <c r="B6" s="12">
        <v>12</v>
      </c>
      <c r="C6" s="12">
        <v>0.43166666666666664</v>
      </c>
      <c r="D6" s="12">
        <v>2.3916666666666671</v>
      </c>
    </row>
    <row r="7" spans="1:4" x14ac:dyDescent="0.2">
      <c r="A7" s="14" t="s">
        <v>343</v>
      </c>
      <c r="B7" s="12">
        <v>55</v>
      </c>
      <c r="C7" s="12">
        <v>0.34509090909090911</v>
      </c>
      <c r="D7" s="12" t="e">
        <v>#VALUE!</v>
      </c>
    </row>
    <row r="8" spans="1:4" x14ac:dyDescent="0.2">
      <c r="A8" s="14" t="s">
        <v>344</v>
      </c>
      <c r="B8" s="12"/>
      <c r="C8" s="12"/>
      <c r="D8" s="12"/>
    </row>
    <row r="9" spans="1:4" x14ac:dyDescent="0.2">
      <c r="A9" s="14" t="s">
        <v>345</v>
      </c>
      <c r="B9" s="12" t="e">
        <v>#VALUE!</v>
      </c>
      <c r="C9" s="12">
        <v>0.3677678571428572</v>
      </c>
      <c r="D9" s="12" t="e">
        <v>#VALUE!</v>
      </c>
    </row>
  </sheetData>
  <pageMargins left="0.7" right="0.7" top="0.75" bottom="0.75" header="0.3" footer="0.3"/>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2C8CD-6FDB-9A49-B281-7D4AC292B040}">
  <dimension ref="A1:V114"/>
  <sheetViews>
    <sheetView zoomScale="90" zoomScaleNormal="90" workbookViewId="0">
      <selection activeCell="U1" sqref="U1"/>
    </sheetView>
  </sheetViews>
  <sheetFormatPr baseColWidth="10" defaultColWidth="8.83203125" defaultRowHeight="15" x14ac:dyDescent="0.2"/>
  <cols>
    <col min="1" max="1" width="89.1640625" bestFit="1" customWidth="1"/>
    <col min="2" max="2" width="4.5" bestFit="1" customWidth="1"/>
    <col min="3" max="3" width="14.83203125" bestFit="1" customWidth="1"/>
    <col min="4" max="4" width="3.83203125" bestFit="1" customWidth="1"/>
    <col min="5" max="5" width="18.33203125" customWidth="1"/>
    <col min="6" max="6" width="8.1640625" bestFit="1" customWidth="1"/>
    <col min="7" max="7" width="6.6640625" bestFit="1" customWidth="1"/>
    <col min="8" max="8" width="10.33203125" bestFit="1" customWidth="1"/>
    <col min="10" max="10" width="15.83203125" bestFit="1" customWidth="1"/>
    <col min="12" max="12" width="17.1640625" bestFit="1" customWidth="1"/>
    <col min="13" max="13" width="14.5" customWidth="1"/>
    <col min="14" max="14" width="15.1640625" bestFit="1" customWidth="1"/>
    <col min="15" max="15" width="19.6640625" style="7" bestFit="1" customWidth="1"/>
    <col min="16" max="16" width="11.6640625" customWidth="1"/>
    <col min="18" max="18" width="14" customWidth="1"/>
    <col min="20" max="20" width="12.33203125" bestFit="1" customWidth="1"/>
    <col min="21" max="21" width="26.6640625" style="4" bestFit="1" customWidth="1"/>
    <col min="22" max="22" width="15.6640625" bestFit="1" customWidth="1"/>
  </cols>
  <sheetData>
    <row r="1" spans="1:22" s="8" customFormat="1" ht="97" thickBot="1" x14ac:dyDescent="0.25">
      <c r="A1" s="53" t="s">
        <v>0</v>
      </c>
      <c r="B1" s="54" t="s">
        <v>323</v>
      </c>
      <c r="C1" s="53" t="s">
        <v>326</v>
      </c>
      <c r="D1" s="54" t="s">
        <v>327</v>
      </c>
      <c r="E1" s="53" t="s">
        <v>2</v>
      </c>
      <c r="F1" s="53" t="s">
        <v>3</v>
      </c>
      <c r="G1" s="53" t="s">
        <v>4</v>
      </c>
      <c r="H1" s="53" t="s">
        <v>5</v>
      </c>
      <c r="I1" s="55" t="s">
        <v>329</v>
      </c>
      <c r="J1" s="55" t="s">
        <v>330</v>
      </c>
      <c r="K1" s="55" t="s">
        <v>331</v>
      </c>
      <c r="L1" s="55" t="s">
        <v>349</v>
      </c>
      <c r="M1" s="55" t="s">
        <v>332</v>
      </c>
      <c r="N1" s="9" t="s">
        <v>334</v>
      </c>
      <c r="O1" s="10" t="s">
        <v>335</v>
      </c>
      <c r="P1" s="11" t="s">
        <v>336</v>
      </c>
      <c r="Q1" s="11" t="s">
        <v>337</v>
      </c>
      <c r="R1" s="15" t="s">
        <v>348</v>
      </c>
      <c r="U1" s="56"/>
    </row>
    <row r="2" spans="1:22" x14ac:dyDescent="0.2">
      <c r="A2" s="32" t="s">
        <v>125</v>
      </c>
      <c r="B2" s="33" t="s">
        <v>324</v>
      </c>
      <c r="C2" s="36">
        <v>1980</v>
      </c>
      <c r="D2" s="33" t="s">
        <v>324</v>
      </c>
      <c r="E2" s="36">
        <v>3200</v>
      </c>
      <c r="F2" s="35">
        <v>0.38</v>
      </c>
      <c r="G2" s="34">
        <v>-2</v>
      </c>
      <c r="H2" s="34" t="s">
        <v>9</v>
      </c>
      <c r="I2" s="34">
        <f>VALUE(LEFT(H2, FIND(" ", H2)-1))</f>
        <v>4.5</v>
      </c>
      <c r="J2" s="36">
        <f t="shared" ref="J2:J33" si="0">E2-C2</f>
        <v>1220</v>
      </c>
      <c r="K2" s="34" t="str">
        <f t="shared" ref="K2:K33" si="1">IF(I2&lt;3,"Poor",IF(I2&lt;4.5,"Average","Excellent"))</f>
        <v>Excellent</v>
      </c>
      <c r="L2" s="37">
        <f t="shared" ref="L2:L33" si="2">C2/E2</f>
        <v>0.61875000000000002</v>
      </c>
      <c r="M2" s="38" t="str">
        <f t="shared" ref="M2:M33" si="3">IF(L2&lt;20%,"Low Discount",IF(L2&lt;=40%,"Medium Discount","High Discount"))</f>
        <v>High Discount</v>
      </c>
      <c r="O2" s="7">
        <f t="shared" ref="O2:O33" si="4">AVERAGE(L2:L10)</f>
        <v>0.93932712573349675</v>
      </c>
      <c r="P2">
        <f t="shared" ref="P2:P33" si="5">MAX(C2:C113)</f>
        <v>3750</v>
      </c>
      <c r="Q2">
        <f t="shared" ref="Q2:Q33" si="6">MIN(C2:C113)</f>
        <v>38</v>
      </c>
      <c r="R2">
        <f t="shared" ref="R2:R33" si="7">CORREL(L2:L113,G2:G113)</f>
        <v>-0.13874390617617255</v>
      </c>
    </row>
    <row r="3" spans="1:22" x14ac:dyDescent="0.2">
      <c r="A3" s="39" t="s">
        <v>301</v>
      </c>
      <c r="B3" s="40" t="s">
        <v>324</v>
      </c>
      <c r="C3" s="43">
        <v>1875</v>
      </c>
      <c r="D3" s="40" t="s">
        <v>324</v>
      </c>
      <c r="E3" s="43">
        <v>1899</v>
      </c>
      <c r="F3" s="42">
        <v>0.01</v>
      </c>
      <c r="G3" s="41"/>
      <c r="H3" s="41"/>
      <c r="I3" s="41" t="e">
        <f t="shared" ref="I3:I13" si="8">VALUE(LEFT(H3, FIND(" ", H3)-1))</f>
        <v>#VALUE!</v>
      </c>
      <c r="J3" s="43">
        <f t="shared" si="0"/>
        <v>24</v>
      </c>
      <c r="K3" s="41" t="e">
        <f t="shared" si="1"/>
        <v>#VALUE!</v>
      </c>
      <c r="L3" s="44">
        <f t="shared" si="2"/>
        <v>0.9873617693522907</v>
      </c>
      <c r="M3" s="45" t="str">
        <f t="shared" si="3"/>
        <v>High Discount</v>
      </c>
      <c r="O3" s="7">
        <f t="shared" si="4"/>
        <v>0.97755013543024183</v>
      </c>
      <c r="P3">
        <f t="shared" si="5"/>
        <v>3750</v>
      </c>
      <c r="Q3">
        <f t="shared" si="6"/>
        <v>38</v>
      </c>
      <c r="R3">
        <f t="shared" si="7"/>
        <v>-0.14034658870952965</v>
      </c>
    </row>
    <row r="4" spans="1:22" x14ac:dyDescent="0.2">
      <c r="A4" s="39" t="s">
        <v>140</v>
      </c>
      <c r="B4" s="40" t="s">
        <v>324</v>
      </c>
      <c r="C4" s="43">
        <v>2132</v>
      </c>
      <c r="D4" s="40" t="s">
        <v>324</v>
      </c>
      <c r="E4" s="43">
        <v>2169</v>
      </c>
      <c r="F4" s="42">
        <v>0.02</v>
      </c>
      <c r="G4" s="41"/>
      <c r="H4" s="41"/>
      <c r="I4" s="41" t="e">
        <f t="shared" si="8"/>
        <v>#VALUE!</v>
      </c>
      <c r="J4" s="43">
        <f t="shared" si="0"/>
        <v>37</v>
      </c>
      <c r="K4" s="41" t="e">
        <f t="shared" si="1"/>
        <v>#VALUE!</v>
      </c>
      <c r="L4" s="44">
        <f t="shared" si="2"/>
        <v>0.98294144767173808</v>
      </c>
      <c r="M4" s="45" t="str">
        <f t="shared" si="3"/>
        <v>High Discount</v>
      </c>
      <c r="O4" s="7">
        <f t="shared" si="4"/>
        <v>0.97435854656736232</v>
      </c>
      <c r="P4">
        <f t="shared" si="5"/>
        <v>3750</v>
      </c>
      <c r="Q4">
        <f t="shared" si="6"/>
        <v>38</v>
      </c>
      <c r="R4">
        <f t="shared" si="7"/>
        <v>-0.14034658870952965</v>
      </c>
    </row>
    <row r="5" spans="1:22" x14ac:dyDescent="0.2">
      <c r="A5" s="39" t="s">
        <v>314</v>
      </c>
      <c r="B5" s="40" t="s">
        <v>324</v>
      </c>
      <c r="C5" s="43">
        <v>1768</v>
      </c>
      <c r="D5" s="40" t="s">
        <v>324</v>
      </c>
      <c r="E5" s="43">
        <v>1799</v>
      </c>
      <c r="F5" s="42">
        <v>0.02</v>
      </c>
      <c r="G5" s="41"/>
      <c r="H5" s="41"/>
      <c r="I5" s="41" t="e">
        <f t="shared" si="8"/>
        <v>#VALUE!</v>
      </c>
      <c r="J5" s="43">
        <f t="shared" si="0"/>
        <v>31</v>
      </c>
      <c r="K5" s="41" t="e">
        <f t="shared" si="1"/>
        <v>#VALUE!</v>
      </c>
      <c r="L5" s="44">
        <f t="shared" si="2"/>
        <v>0.98276820455808778</v>
      </c>
      <c r="M5" s="45" t="str">
        <f t="shared" si="3"/>
        <v>High Discount</v>
      </c>
      <c r="O5" s="7">
        <f t="shared" si="4"/>
        <v>0.96728473109647295</v>
      </c>
      <c r="P5">
        <f t="shared" si="5"/>
        <v>3750</v>
      </c>
      <c r="Q5">
        <f t="shared" si="6"/>
        <v>38</v>
      </c>
      <c r="R5">
        <f t="shared" si="7"/>
        <v>-0.14034658870952965</v>
      </c>
      <c r="T5" s="13" t="s">
        <v>339</v>
      </c>
      <c r="U5" t="s">
        <v>350</v>
      </c>
      <c r="V5" t="s">
        <v>347</v>
      </c>
    </row>
    <row r="6" spans="1:22" x14ac:dyDescent="0.2">
      <c r="A6" s="39" t="s">
        <v>251</v>
      </c>
      <c r="B6" s="40" t="s">
        <v>324</v>
      </c>
      <c r="C6" s="43">
        <v>1666</v>
      </c>
      <c r="D6" s="40" t="s">
        <v>324</v>
      </c>
      <c r="E6" s="43">
        <v>1699</v>
      </c>
      <c r="F6" s="42">
        <v>0.02</v>
      </c>
      <c r="G6" s="41"/>
      <c r="H6" s="41"/>
      <c r="I6" s="41" t="e">
        <f t="shared" si="8"/>
        <v>#VALUE!</v>
      </c>
      <c r="J6" s="43">
        <f t="shared" si="0"/>
        <v>33</v>
      </c>
      <c r="K6" s="41" t="e">
        <f t="shared" si="1"/>
        <v>#VALUE!</v>
      </c>
      <c r="L6" s="44">
        <f t="shared" si="2"/>
        <v>0.98057680988816953</v>
      </c>
      <c r="M6" s="45" t="str">
        <f t="shared" si="3"/>
        <v>High Discount</v>
      </c>
      <c r="O6" s="7">
        <f t="shared" si="4"/>
        <v>0.95937161414287275</v>
      </c>
      <c r="P6">
        <f t="shared" si="5"/>
        <v>3750</v>
      </c>
      <c r="Q6">
        <f t="shared" si="6"/>
        <v>38</v>
      </c>
      <c r="R6">
        <f t="shared" si="7"/>
        <v>-0.14034658870952965</v>
      </c>
      <c r="T6" s="14" t="s">
        <v>340</v>
      </c>
      <c r="U6" s="12">
        <v>0.61966896229614865</v>
      </c>
      <c r="V6" s="5">
        <v>3.8090909090909082</v>
      </c>
    </row>
    <row r="7" spans="1:22" x14ac:dyDescent="0.2">
      <c r="A7" s="39" t="s">
        <v>160</v>
      </c>
      <c r="B7" s="40" t="s">
        <v>324</v>
      </c>
      <c r="C7" s="43">
        <v>1660</v>
      </c>
      <c r="D7" s="40" t="s">
        <v>324</v>
      </c>
      <c r="E7" s="43">
        <v>1699</v>
      </c>
      <c r="F7" s="42">
        <v>0.02</v>
      </c>
      <c r="G7" s="41"/>
      <c r="H7" s="41"/>
      <c r="I7" s="41" t="e">
        <f t="shared" si="8"/>
        <v>#VALUE!</v>
      </c>
      <c r="J7" s="43">
        <f t="shared" si="0"/>
        <v>39</v>
      </c>
      <c r="K7" s="41" t="e">
        <f t="shared" si="1"/>
        <v>#VALUE!</v>
      </c>
      <c r="L7" s="44">
        <f t="shared" si="2"/>
        <v>0.97704532077692763</v>
      </c>
      <c r="M7" s="45" t="str">
        <f t="shared" si="3"/>
        <v>High Discount</v>
      </c>
      <c r="O7" s="7">
        <f t="shared" si="4"/>
        <v>0.9490606105750512</v>
      </c>
      <c r="P7">
        <f t="shared" si="5"/>
        <v>3750</v>
      </c>
      <c r="Q7">
        <f t="shared" si="6"/>
        <v>38</v>
      </c>
      <c r="R7">
        <f t="shared" si="7"/>
        <v>-0.14034658870952965</v>
      </c>
      <c r="T7" s="14" t="s">
        <v>341</v>
      </c>
      <c r="U7" s="12">
        <v>0.62473774833375917</v>
      </c>
      <c r="V7" s="5">
        <v>4.747826086956521</v>
      </c>
    </row>
    <row r="8" spans="1:22" x14ac:dyDescent="0.2">
      <c r="A8" s="39" t="s">
        <v>312</v>
      </c>
      <c r="B8" s="40" t="s">
        <v>324</v>
      </c>
      <c r="C8" s="43">
        <v>1658</v>
      </c>
      <c r="D8" s="40" t="s">
        <v>324</v>
      </c>
      <c r="E8" s="43">
        <v>1699</v>
      </c>
      <c r="F8" s="42">
        <v>0.02</v>
      </c>
      <c r="G8" s="41"/>
      <c r="H8" s="41"/>
      <c r="I8" s="41" t="e">
        <f t="shared" si="8"/>
        <v>#VALUE!</v>
      </c>
      <c r="J8" s="43">
        <f t="shared" si="0"/>
        <v>41</v>
      </c>
      <c r="K8" s="41" t="e">
        <f t="shared" si="1"/>
        <v>#VALUE!</v>
      </c>
      <c r="L8" s="44">
        <f t="shared" si="2"/>
        <v>0.97586815773984692</v>
      </c>
      <c r="M8" s="45" t="str">
        <f t="shared" si="3"/>
        <v>High Discount</v>
      </c>
      <c r="O8" s="7">
        <f t="shared" si="4"/>
        <v>0.93694446382205931</v>
      </c>
      <c r="P8">
        <f t="shared" si="5"/>
        <v>3750</v>
      </c>
      <c r="Q8">
        <f t="shared" si="6"/>
        <v>38</v>
      </c>
      <c r="R8">
        <f t="shared" si="7"/>
        <v>-0.14034658870952965</v>
      </c>
      <c r="T8" s="14" t="s">
        <v>342</v>
      </c>
      <c r="U8" s="12">
        <v>0.56782210615052786</v>
      </c>
      <c r="V8" s="5">
        <v>2.3916666666666671</v>
      </c>
    </row>
    <row r="9" spans="1:22" x14ac:dyDescent="0.2">
      <c r="A9" s="39" t="s">
        <v>282</v>
      </c>
      <c r="B9" s="40" t="s">
        <v>324</v>
      </c>
      <c r="C9" s="43">
        <v>1462</v>
      </c>
      <c r="D9" s="40" t="s">
        <v>324</v>
      </c>
      <c r="E9" s="43">
        <v>1499</v>
      </c>
      <c r="F9" s="42">
        <v>0.02</v>
      </c>
      <c r="G9" s="41"/>
      <c r="H9" s="41"/>
      <c r="I9" s="41" t="e">
        <f t="shared" si="8"/>
        <v>#VALUE!</v>
      </c>
      <c r="J9" s="43">
        <f t="shared" si="0"/>
        <v>37</v>
      </c>
      <c r="K9" s="41" t="e">
        <f t="shared" si="1"/>
        <v>#VALUE!</v>
      </c>
      <c r="L9" s="44">
        <f t="shared" si="2"/>
        <v>0.97531687791861243</v>
      </c>
      <c r="M9" s="45" t="str">
        <f t="shared" si="3"/>
        <v>High Discount</v>
      </c>
      <c r="O9" s="7">
        <f t="shared" si="4"/>
        <v>0.92451885398620826</v>
      </c>
      <c r="P9">
        <f t="shared" si="5"/>
        <v>3750</v>
      </c>
      <c r="Q9">
        <f t="shared" si="6"/>
        <v>38</v>
      </c>
      <c r="R9">
        <f t="shared" si="7"/>
        <v>-0.14034658870952965</v>
      </c>
      <c r="T9" s="14" t="s">
        <v>343</v>
      </c>
      <c r="U9" s="12">
        <v>0.65484935700676639</v>
      </c>
      <c r="V9" s="12" t="e">
        <v>#VALUE!</v>
      </c>
    </row>
    <row r="10" spans="1:22" x14ac:dyDescent="0.2">
      <c r="A10" s="39" t="s">
        <v>165</v>
      </c>
      <c r="B10" s="40" t="s">
        <v>324</v>
      </c>
      <c r="C10" s="43">
        <v>1459</v>
      </c>
      <c r="D10" s="40" t="s">
        <v>324</v>
      </c>
      <c r="E10" s="43">
        <v>1499</v>
      </c>
      <c r="F10" s="42">
        <v>0.03</v>
      </c>
      <c r="G10" s="41"/>
      <c r="H10" s="41"/>
      <c r="I10" s="41" t="e">
        <f t="shared" si="8"/>
        <v>#VALUE!</v>
      </c>
      <c r="J10" s="43">
        <f t="shared" si="0"/>
        <v>40</v>
      </c>
      <c r="K10" s="41" t="e">
        <f t="shared" si="1"/>
        <v>#VALUE!</v>
      </c>
      <c r="L10" s="44">
        <f t="shared" si="2"/>
        <v>0.9733155436957972</v>
      </c>
      <c r="M10" s="45" t="str">
        <f t="shared" si="3"/>
        <v>High Discount</v>
      </c>
      <c r="O10" s="7">
        <f t="shared" si="4"/>
        <v>0.91202370157081858</v>
      </c>
      <c r="P10">
        <f t="shared" si="5"/>
        <v>3750</v>
      </c>
      <c r="Q10">
        <f t="shared" si="6"/>
        <v>38</v>
      </c>
      <c r="R10">
        <f t="shared" si="7"/>
        <v>-0.14034658870952965</v>
      </c>
      <c r="T10" s="14" t="s">
        <v>344</v>
      </c>
      <c r="U10" s="12"/>
      <c r="V10" s="12"/>
    </row>
    <row r="11" spans="1:22" ht="16" thickBot="1" x14ac:dyDescent="0.25">
      <c r="A11" s="46" t="s">
        <v>237</v>
      </c>
      <c r="B11" s="47" t="s">
        <v>324</v>
      </c>
      <c r="C11" s="50">
        <v>1732</v>
      </c>
      <c r="D11" s="47" t="s">
        <v>324</v>
      </c>
      <c r="E11" s="50">
        <v>1799</v>
      </c>
      <c r="F11" s="49">
        <v>0.04</v>
      </c>
      <c r="G11" s="48"/>
      <c r="H11" s="48"/>
      <c r="I11" s="48" t="e">
        <f t="shared" si="8"/>
        <v>#VALUE!</v>
      </c>
      <c r="J11" s="50">
        <f t="shared" si="0"/>
        <v>67</v>
      </c>
      <c r="K11" s="48" t="e">
        <f t="shared" si="1"/>
        <v>#VALUE!</v>
      </c>
      <c r="L11" s="51">
        <f t="shared" si="2"/>
        <v>0.96275708727070597</v>
      </c>
      <c r="M11" s="52" t="str">
        <f t="shared" si="3"/>
        <v>High Discount</v>
      </c>
      <c r="O11" s="7">
        <f t="shared" si="4"/>
        <v>0.89478662095815431</v>
      </c>
      <c r="P11">
        <f t="shared" si="5"/>
        <v>3750</v>
      </c>
      <c r="Q11">
        <f t="shared" si="6"/>
        <v>38</v>
      </c>
      <c r="R11">
        <f t="shared" si="7"/>
        <v>-0.14034658870952965</v>
      </c>
      <c r="T11" s="14" t="s">
        <v>345</v>
      </c>
      <c r="U11" s="12">
        <v>0.63243094010151979</v>
      </c>
      <c r="V11" s="12" t="e">
        <v>#VALUE!</v>
      </c>
    </row>
    <row r="12" spans="1:22" x14ac:dyDescent="0.2">
      <c r="A12" t="s">
        <v>287</v>
      </c>
      <c r="B12" s="2" t="s">
        <v>324</v>
      </c>
      <c r="C12" s="3">
        <v>3546</v>
      </c>
      <c r="D12" s="2" t="s">
        <v>324</v>
      </c>
      <c r="E12" s="3">
        <v>3699</v>
      </c>
      <c r="F12" s="1">
        <v>0.04</v>
      </c>
      <c r="I12" t="e">
        <f t="shared" si="8"/>
        <v>#VALUE!</v>
      </c>
      <c r="J12" s="3">
        <f t="shared" si="0"/>
        <v>153</v>
      </c>
      <c r="K12" t="e">
        <f t="shared" si="1"/>
        <v>#VALUE!</v>
      </c>
      <c r="L12" s="4">
        <f t="shared" si="2"/>
        <v>0.95863746958637475</v>
      </c>
      <c r="M12" t="str">
        <f t="shared" si="3"/>
        <v>High Discount</v>
      </c>
      <c r="O12" s="7">
        <f t="shared" si="4"/>
        <v>0.87789801845854953</v>
      </c>
      <c r="P12">
        <f t="shared" si="5"/>
        <v>3750</v>
      </c>
      <c r="Q12">
        <f t="shared" si="6"/>
        <v>38</v>
      </c>
      <c r="R12">
        <f t="shared" si="7"/>
        <v>-0.14034658870952965</v>
      </c>
    </row>
    <row r="13" spans="1:22" x14ac:dyDescent="0.2">
      <c r="A13" t="s">
        <v>280</v>
      </c>
      <c r="B13" s="2" t="s">
        <v>324</v>
      </c>
      <c r="C13" s="3">
        <v>1526</v>
      </c>
      <c r="D13" s="2" t="s">
        <v>324</v>
      </c>
      <c r="E13" s="3">
        <v>1660</v>
      </c>
      <c r="F13" s="1">
        <v>0.08</v>
      </c>
      <c r="I13" t="e">
        <f t="shared" si="8"/>
        <v>#VALUE!</v>
      </c>
      <c r="J13" s="3">
        <f t="shared" si="0"/>
        <v>134</v>
      </c>
      <c r="K13" t="e">
        <f t="shared" si="1"/>
        <v>#VALUE!</v>
      </c>
      <c r="L13" s="4">
        <f t="shared" si="2"/>
        <v>0.91927710843373489</v>
      </c>
      <c r="M13" t="str">
        <f t="shared" si="3"/>
        <v>High Discount</v>
      </c>
      <c r="O13" s="7">
        <f t="shared" si="4"/>
        <v>0.8602493884822634</v>
      </c>
      <c r="P13">
        <f t="shared" si="5"/>
        <v>3750</v>
      </c>
      <c r="Q13">
        <f t="shared" si="6"/>
        <v>38</v>
      </c>
      <c r="R13">
        <f t="shared" si="7"/>
        <v>-0.14034658870952965</v>
      </c>
    </row>
    <row r="14" spans="1:22" x14ac:dyDescent="0.2">
      <c r="A14" t="s">
        <v>26</v>
      </c>
      <c r="B14" s="2" t="s">
        <v>324</v>
      </c>
      <c r="C14" s="3">
        <v>2999</v>
      </c>
      <c r="D14" s="2" t="s">
        <v>324</v>
      </c>
      <c r="E14" s="3">
        <v>3290</v>
      </c>
      <c r="F14" s="1">
        <v>0.09</v>
      </c>
      <c r="G14">
        <v>-15</v>
      </c>
      <c r="H14" t="s">
        <v>29</v>
      </c>
      <c r="I14">
        <f t="shared" ref="I14:I45" si="9">VALUE(LEFT(H14, FIND(" ", H14)-1))</f>
        <v>4</v>
      </c>
      <c r="J14" s="3">
        <f t="shared" si="0"/>
        <v>291</v>
      </c>
      <c r="K14" t="str">
        <f t="shared" si="1"/>
        <v>Average</v>
      </c>
      <c r="L14" s="4">
        <f t="shared" si="2"/>
        <v>0.9115501519756839</v>
      </c>
      <c r="M14" t="str">
        <f t="shared" si="3"/>
        <v>High Discount</v>
      </c>
      <c r="O14" s="7">
        <f t="shared" si="4"/>
        <v>0.84626015634301188</v>
      </c>
      <c r="P14">
        <f t="shared" si="5"/>
        <v>3750</v>
      </c>
      <c r="Q14">
        <f t="shared" si="6"/>
        <v>38</v>
      </c>
      <c r="R14">
        <f t="shared" si="7"/>
        <v>-0.14034658870952965</v>
      </c>
    </row>
    <row r="15" spans="1:22" x14ac:dyDescent="0.2">
      <c r="A15" t="s">
        <v>261</v>
      </c>
      <c r="B15" s="2" t="s">
        <v>324</v>
      </c>
      <c r="C15">
        <v>799</v>
      </c>
      <c r="D15" s="2" t="s">
        <v>324</v>
      </c>
      <c r="E15">
        <v>900</v>
      </c>
      <c r="F15" s="1">
        <v>0.11</v>
      </c>
      <c r="I15" t="e">
        <f t="shared" si="9"/>
        <v>#VALUE!</v>
      </c>
      <c r="J15" s="3">
        <f t="shared" si="0"/>
        <v>101</v>
      </c>
      <c r="K15" t="e">
        <f t="shared" si="1"/>
        <v>#VALUE!</v>
      </c>
      <c r="L15" s="4">
        <f t="shared" si="2"/>
        <v>0.88777777777777778</v>
      </c>
      <c r="M15" t="str">
        <f t="shared" si="3"/>
        <v>High Discount</v>
      </c>
      <c r="O15" s="7">
        <f t="shared" si="4"/>
        <v>0.83215079683445958</v>
      </c>
      <c r="P15">
        <f t="shared" si="5"/>
        <v>3750</v>
      </c>
      <c r="Q15">
        <f t="shared" si="6"/>
        <v>38</v>
      </c>
      <c r="R15">
        <f t="shared" si="7"/>
        <v>-0.14196300663382955</v>
      </c>
    </row>
    <row r="16" spans="1:22" x14ac:dyDescent="0.2">
      <c r="A16" t="s">
        <v>182</v>
      </c>
      <c r="B16" s="2" t="s">
        <v>324</v>
      </c>
      <c r="C16" s="3">
        <v>2170</v>
      </c>
      <c r="D16" s="2" t="s">
        <v>324</v>
      </c>
      <c r="E16" s="3">
        <v>2500</v>
      </c>
      <c r="F16" s="1">
        <v>0.13</v>
      </c>
      <c r="G16">
        <v>-6</v>
      </c>
      <c r="H16" t="s">
        <v>185</v>
      </c>
      <c r="I16">
        <f t="shared" si="9"/>
        <v>2.5</v>
      </c>
      <c r="J16" s="3">
        <f t="shared" si="0"/>
        <v>330</v>
      </c>
      <c r="K16" t="str">
        <f t="shared" si="1"/>
        <v>Poor</v>
      </c>
      <c r="L16" s="4">
        <f t="shared" si="2"/>
        <v>0.86799999999999999</v>
      </c>
      <c r="M16" t="str">
        <f t="shared" si="3"/>
        <v>High Discount</v>
      </c>
      <c r="O16" s="7">
        <f t="shared" si="4"/>
        <v>0.82002502522952136</v>
      </c>
      <c r="P16">
        <f t="shared" si="5"/>
        <v>3750</v>
      </c>
      <c r="Q16">
        <f t="shared" si="6"/>
        <v>38</v>
      </c>
      <c r="R16">
        <f t="shared" si="7"/>
        <v>-0.14196300663382955</v>
      </c>
    </row>
    <row r="17" spans="1:18" x14ac:dyDescent="0.2">
      <c r="A17" t="s">
        <v>264</v>
      </c>
      <c r="B17" s="2" t="s">
        <v>324</v>
      </c>
      <c r="C17" s="3">
        <v>1468</v>
      </c>
      <c r="D17" s="2" t="s">
        <v>324</v>
      </c>
      <c r="E17" s="3">
        <v>1699</v>
      </c>
      <c r="F17" s="1">
        <v>0.14000000000000001</v>
      </c>
      <c r="I17" t="e">
        <f t="shared" si="9"/>
        <v>#VALUE!</v>
      </c>
      <c r="J17" s="3">
        <f t="shared" si="0"/>
        <v>231</v>
      </c>
      <c r="K17" t="e">
        <f t="shared" si="1"/>
        <v>#VALUE!</v>
      </c>
      <c r="L17" s="4">
        <f t="shared" si="2"/>
        <v>0.86403766921718661</v>
      </c>
      <c r="M17" t="str">
        <f t="shared" si="3"/>
        <v>High Discount</v>
      </c>
      <c r="O17" s="7">
        <f t="shared" si="4"/>
        <v>0.8088518986145341</v>
      </c>
      <c r="P17">
        <f t="shared" si="5"/>
        <v>3750</v>
      </c>
      <c r="Q17">
        <f t="shared" si="6"/>
        <v>38</v>
      </c>
      <c r="R17">
        <f t="shared" si="7"/>
        <v>-0.17111625474252762</v>
      </c>
    </row>
    <row r="18" spans="1:18" x14ac:dyDescent="0.2">
      <c r="A18" t="s">
        <v>256</v>
      </c>
      <c r="B18" s="2" t="s">
        <v>324</v>
      </c>
      <c r="C18" s="3">
        <v>1466</v>
      </c>
      <c r="D18" s="2" t="s">
        <v>324</v>
      </c>
      <c r="E18" s="3">
        <v>1699</v>
      </c>
      <c r="F18" s="1">
        <v>0.14000000000000001</v>
      </c>
      <c r="I18" t="e">
        <f t="shared" si="9"/>
        <v>#VALUE!</v>
      </c>
      <c r="J18" s="3">
        <f t="shared" si="0"/>
        <v>233</v>
      </c>
      <c r="K18" t="e">
        <f t="shared" si="1"/>
        <v>#VALUE!</v>
      </c>
      <c r="L18" s="4">
        <f t="shared" si="2"/>
        <v>0.8628605061801059</v>
      </c>
      <c r="M18" t="str">
        <f t="shared" si="3"/>
        <v>High Discount</v>
      </c>
      <c r="O18" s="7">
        <f t="shared" si="4"/>
        <v>0.79783012299644163</v>
      </c>
      <c r="P18">
        <f t="shared" si="5"/>
        <v>3750</v>
      </c>
      <c r="Q18">
        <f t="shared" si="6"/>
        <v>38</v>
      </c>
      <c r="R18">
        <f t="shared" si="7"/>
        <v>-0.17111625474252762</v>
      </c>
    </row>
    <row r="19" spans="1:18" x14ac:dyDescent="0.2">
      <c r="A19" t="s">
        <v>92</v>
      </c>
      <c r="B19" s="2" t="s">
        <v>324</v>
      </c>
      <c r="C19" s="3">
        <v>2880</v>
      </c>
      <c r="D19" s="2" t="s">
        <v>324</v>
      </c>
      <c r="E19" s="3">
        <v>3520</v>
      </c>
      <c r="F19" s="1">
        <v>0.18</v>
      </c>
      <c r="G19">
        <v>-12</v>
      </c>
      <c r="H19" t="s">
        <v>41</v>
      </c>
      <c r="I19">
        <f t="shared" si="9"/>
        <v>3.8</v>
      </c>
      <c r="J19" s="3">
        <f t="shared" si="0"/>
        <v>640</v>
      </c>
      <c r="K19" t="str">
        <f t="shared" si="1"/>
        <v>Average</v>
      </c>
      <c r="L19" s="4">
        <f t="shared" si="2"/>
        <v>0.81818181818181823</v>
      </c>
      <c r="M19" t="str">
        <f t="shared" si="3"/>
        <v>High Discount</v>
      </c>
      <c r="O19" s="7">
        <f t="shared" si="4"/>
        <v>0.78657211803625904</v>
      </c>
      <c r="P19">
        <f t="shared" si="5"/>
        <v>3750</v>
      </c>
      <c r="Q19">
        <f t="shared" si="6"/>
        <v>38</v>
      </c>
      <c r="R19">
        <f t="shared" si="7"/>
        <v>-0.17111625474252762</v>
      </c>
    </row>
    <row r="20" spans="1:18" x14ac:dyDescent="0.2">
      <c r="A20" t="s">
        <v>66</v>
      </c>
      <c r="B20" s="2" t="s">
        <v>324</v>
      </c>
      <c r="C20" s="3">
        <v>2999</v>
      </c>
      <c r="D20" s="2" t="s">
        <v>324</v>
      </c>
      <c r="E20" s="3">
        <v>3699</v>
      </c>
      <c r="F20" s="1">
        <v>0.19</v>
      </c>
      <c r="G20">
        <v>-5</v>
      </c>
      <c r="H20" t="s">
        <v>17</v>
      </c>
      <c r="I20">
        <f t="shared" si="9"/>
        <v>4.5999999999999996</v>
      </c>
      <c r="J20" s="3">
        <f t="shared" si="0"/>
        <v>700</v>
      </c>
      <c r="K20" t="str">
        <f t="shared" si="1"/>
        <v>Excellent</v>
      </c>
      <c r="L20" s="4">
        <f t="shared" si="2"/>
        <v>0.81075966477426331</v>
      </c>
      <c r="M20" t="str">
        <f t="shared" si="3"/>
        <v>High Discount</v>
      </c>
      <c r="O20" s="7">
        <f t="shared" si="4"/>
        <v>0.77925294616012508</v>
      </c>
      <c r="P20">
        <f t="shared" si="5"/>
        <v>3750</v>
      </c>
      <c r="Q20">
        <f t="shared" si="6"/>
        <v>38</v>
      </c>
      <c r="R20">
        <f t="shared" si="7"/>
        <v>-0.18050940038636692</v>
      </c>
    </row>
    <row r="21" spans="1:18" x14ac:dyDescent="0.2">
      <c r="A21" t="s">
        <v>42</v>
      </c>
      <c r="B21" s="2" t="s">
        <v>324</v>
      </c>
      <c r="C21">
        <v>799</v>
      </c>
      <c r="D21" s="2" t="s">
        <v>324</v>
      </c>
      <c r="E21">
        <v>999</v>
      </c>
      <c r="F21" s="1">
        <v>0.2</v>
      </c>
      <c r="G21">
        <v>-12</v>
      </c>
      <c r="H21" t="s">
        <v>13</v>
      </c>
      <c r="I21">
        <f t="shared" si="9"/>
        <v>4.0999999999999996</v>
      </c>
      <c r="J21" s="3">
        <f t="shared" si="0"/>
        <v>200</v>
      </c>
      <c r="K21" t="str">
        <f t="shared" si="1"/>
        <v>Average</v>
      </c>
      <c r="L21" s="4">
        <f t="shared" si="2"/>
        <v>0.79979979979979976</v>
      </c>
      <c r="M21" t="str">
        <f t="shared" si="3"/>
        <v>High Discount</v>
      </c>
      <c r="O21" s="7">
        <f t="shared" si="4"/>
        <v>0.77122852764436567</v>
      </c>
      <c r="P21">
        <f t="shared" si="5"/>
        <v>3750</v>
      </c>
      <c r="Q21">
        <f t="shared" si="6"/>
        <v>38</v>
      </c>
      <c r="R21">
        <f t="shared" si="7"/>
        <v>-0.21065932079889449</v>
      </c>
    </row>
    <row r="22" spans="1:18" x14ac:dyDescent="0.2">
      <c r="A22" t="s">
        <v>295</v>
      </c>
      <c r="B22" s="2" t="s">
        <v>324</v>
      </c>
      <c r="C22" s="3">
        <v>3640</v>
      </c>
      <c r="D22" s="2" t="s">
        <v>324</v>
      </c>
      <c r="E22" s="3">
        <v>4588</v>
      </c>
      <c r="F22" s="1">
        <v>0.21</v>
      </c>
      <c r="G22">
        <v>-1</v>
      </c>
      <c r="H22" t="s">
        <v>59</v>
      </c>
      <c r="I22">
        <f t="shared" si="9"/>
        <v>5</v>
      </c>
      <c r="J22" s="3">
        <f t="shared" si="0"/>
        <v>948</v>
      </c>
      <c r="K22" t="str">
        <f t="shared" si="1"/>
        <v>Excellent</v>
      </c>
      <c r="L22" s="4">
        <f t="shared" si="2"/>
        <v>0.79337401918047079</v>
      </c>
      <c r="M22" t="str">
        <f t="shared" si="3"/>
        <v>High Discount</v>
      </c>
      <c r="O22" s="7">
        <f t="shared" si="4"/>
        <v>0.76398917981009218</v>
      </c>
      <c r="P22">
        <f t="shared" si="5"/>
        <v>3750</v>
      </c>
      <c r="Q22">
        <f t="shared" si="6"/>
        <v>38</v>
      </c>
      <c r="R22">
        <f t="shared" si="7"/>
        <v>-0.22281000677788393</v>
      </c>
    </row>
    <row r="23" spans="1:18" x14ac:dyDescent="0.2">
      <c r="A23" t="s">
        <v>202</v>
      </c>
      <c r="B23" s="2" t="s">
        <v>324</v>
      </c>
      <c r="C23" s="3">
        <v>1220</v>
      </c>
      <c r="D23" s="2" t="s">
        <v>324</v>
      </c>
      <c r="E23" s="3">
        <v>1555</v>
      </c>
      <c r="F23" s="1">
        <v>0.22</v>
      </c>
      <c r="G23">
        <v>-16</v>
      </c>
      <c r="H23" t="s">
        <v>205</v>
      </c>
      <c r="I23">
        <f t="shared" si="9"/>
        <v>2.9</v>
      </c>
      <c r="J23" s="3">
        <f t="shared" si="0"/>
        <v>335</v>
      </c>
      <c r="K23" t="str">
        <f t="shared" si="1"/>
        <v>Poor</v>
      </c>
      <c r="L23" s="4">
        <f t="shared" si="2"/>
        <v>0.78456591639871387</v>
      </c>
      <c r="M23" t="str">
        <f t="shared" si="3"/>
        <v>High Discount</v>
      </c>
      <c r="O23" s="7">
        <f t="shared" si="4"/>
        <v>0.75734818200151732</v>
      </c>
      <c r="P23">
        <f t="shared" si="5"/>
        <v>3750</v>
      </c>
      <c r="Q23">
        <f t="shared" si="6"/>
        <v>38</v>
      </c>
      <c r="R23">
        <f t="shared" si="7"/>
        <v>-0.26982991678205681</v>
      </c>
    </row>
    <row r="24" spans="1:18" x14ac:dyDescent="0.2">
      <c r="A24" t="s">
        <v>163</v>
      </c>
      <c r="B24" s="2" t="s">
        <v>324</v>
      </c>
      <c r="C24">
        <v>299</v>
      </c>
      <c r="D24" s="2" t="s">
        <v>324</v>
      </c>
      <c r="E24">
        <v>384</v>
      </c>
      <c r="F24" s="1">
        <v>0.22</v>
      </c>
      <c r="I24" t="e">
        <f t="shared" si="9"/>
        <v>#VALUE!</v>
      </c>
      <c r="J24" s="3">
        <f t="shared" si="0"/>
        <v>85</v>
      </c>
      <c r="K24" t="e">
        <f t="shared" si="1"/>
        <v>#VALUE!</v>
      </c>
      <c r="L24" s="4">
        <f t="shared" si="2"/>
        <v>0.77864583333333337</v>
      </c>
      <c r="M24" t="str">
        <f t="shared" si="3"/>
        <v>High Discount</v>
      </c>
      <c r="O24" s="7">
        <f t="shared" si="4"/>
        <v>0.75151591036811727</v>
      </c>
      <c r="P24">
        <f t="shared" si="5"/>
        <v>3750</v>
      </c>
      <c r="Q24">
        <f t="shared" si="6"/>
        <v>38</v>
      </c>
      <c r="R24">
        <f t="shared" si="7"/>
        <v>-0.27501488744337127</v>
      </c>
    </row>
    <row r="25" spans="1:18" x14ac:dyDescent="0.2">
      <c r="A25" t="s">
        <v>81</v>
      </c>
      <c r="B25" s="2" t="s">
        <v>324</v>
      </c>
      <c r="C25" s="3">
        <v>1650</v>
      </c>
      <c r="D25" s="2" t="s">
        <v>324</v>
      </c>
      <c r="E25" s="3">
        <v>2150</v>
      </c>
      <c r="F25" s="1">
        <v>0.23</v>
      </c>
      <c r="G25">
        <v>-14</v>
      </c>
      <c r="H25" t="s">
        <v>84</v>
      </c>
      <c r="I25">
        <f t="shared" si="9"/>
        <v>4.4000000000000004</v>
      </c>
      <c r="J25" s="3">
        <f t="shared" si="0"/>
        <v>500</v>
      </c>
      <c r="K25" t="str">
        <f t="shared" si="1"/>
        <v>Average</v>
      </c>
      <c r="L25" s="4">
        <f t="shared" si="2"/>
        <v>0.76744186046511631</v>
      </c>
      <c r="M25" t="str">
        <f t="shared" si="3"/>
        <v>High Discount</v>
      </c>
      <c r="O25" s="7">
        <f t="shared" si="4"/>
        <v>0.74387487813217756</v>
      </c>
      <c r="P25">
        <f t="shared" si="5"/>
        <v>3750</v>
      </c>
      <c r="Q25">
        <f t="shared" si="6"/>
        <v>38</v>
      </c>
      <c r="R25">
        <f t="shared" si="7"/>
        <v>-0.27501488744337127</v>
      </c>
    </row>
    <row r="26" spans="1:18" x14ac:dyDescent="0.2">
      <c r="A26" t="s">
        <v>30</v>
      </c>
      <c r="B26" s="2" t="s">
        <v>324</v>
      </c>
      <c r="C26" s="3">
        <v>2319</v>
      </c>
      <c r="D26" s="2" t="s">
        <v>324</v>
      </c>
      <c r="E26" s="3">
        <v>3032</v>
      </c>
      <c r="F26" s="1">
        <v>0.24</v>
      </c>
      <c r="G26">
        <v>-55</v>
      </c>
      <c r="H26" t="s">
        <v>17</v>
      </c>
      <c r="I26">
        <f t="shared" si="9"/>
        <v>4.5999999999999996</v>
      </c>
      <c r="J26" s="3">
        <f t="shared" si="0"/>
        <v>713</v>
      </c>
      <c r="K26" t="str">
        <f t="shared" si="1"/>
        <v>Excellent</v>
      </c>
      <c r="L26" s="4">
        <f t="shared" si="2"/>
        <v>0.76484168865435354</v>
      </c>
      <c r="M26" t="str">
        <f t="shared" si="3"/>
        <v>High Discount</v>
      </c>
      <c r="O26" s="7">
        <f t="shared" si="4"/>
        <v>0.73676815947572272</v>
      </c>
      <c r="P26">
        <f t="shared" si="5"/>
        <v>3750</v>
      </c>
      <c r="Q26">
        <f t="shared" si="6"/>
        <v>38</v>
      </c>
      <c r="R26">
        <f t="shared" si="7"/>
        <v>-0.28564403938612321</v>
      </c>
    </row>
    <row r="27" spans="1:18" x14ac:dyDescent="0.2">
      <c r="A27" t="s">
        <v>304</v>
      </c>
      <c r="B27" s="2" t="s">
        <v>324</v>
      </c>
      <c r="C27">
        <v>198</v>
      </c>
      <c r="D27" s="2" t="s">
        <v>324</v>
      </c>
      <c r="E27">
        <v>260</v>
      </c>
      <c r="F27" s="1">
        <v>0.24</v>
      </c>
      <c r="I27" t="e">
        <f t="shared" si="9"/>
        <v>#VALUE!</v>
      </c>
      <c r="J27" s="3">
        <f t="shared" si="0"/>
        <v>62</v>
      </c>
      <c r="K27" t="e">
        <f t="shared" si="1"/>
        <v>#VALUE!</v>
      </c>
      <c r="L27" s="4">
        <f t="shared" si="2"/>
        <v>0.7615384615384615</v>
      </c>
      <c r="M27" t="str">
        <f t="shared" si="3"/>
        <v>High Discount</v>
      </c>
      <c r="O27" s="7">
        <f t="shared" si="4"/>
        <v>0.7271626340473496</v>
      </c>
      <c r="P27">
        <f t="shared" si="5"/>
        <v>3750</v>
      </c>
      <c r="Q27">
        <f t="shared" si="6"/>
        <v>38</v>
      </c>
      <c r="R27">
        <f t="shared" si="7"/>
        <v>-0.18715402969568171</v>
      </c>
    </row>
    <row r="28" spans="1:18" x14ac:dyDescent="0.2">
      <c r="A28" t="s">
        <v>14</v>
      </c>
      <c r="B28" s="2" t="s">
        <v>324</v>
      </c>
      <c r="C28" s="3">
        <v>2199</v>
      </c>
      <c r="D28" s="2" t="s">
        <v>324</v>
      </c>
      <c r="E28" s="3">
        <v>2923</v>
      </c>
      <c r="F28" s="1">
        <v>0.25</v>
      </c>
      <c r="G28">
        <v>-24</v>
      </c>
      <c r="H28" t="s">
        <v>17</v>
      </c>
      <c r="I28">
        <f t="shared" si="9"/>
        <v>4.5999999999999996</v>
      </c>
      <c r="J28" s="3">
        <f t="shared" si="0"/>
        <v>724</v>
      </c>
      <c r="K28" t="str">
        <f t="shared" si="1"/>
        <v>Excellent</v>
      </c>
      <c r="L28" s="4">
        <f t="shared" si="2"/>
        <v>0.75230927129661307</v>
      </c>
      <c r="M28" t="str">
        <f t="shared" si="3"/>
        <v>High Discount</v>
      </c>
      <c r="O28" s="7">
        <f t="shared" si="4"/>
        <v>0.7172437947167456</v>
      </c>
      <c r="P28">
        <f t="shared" si="5"/>
        <v>3750</v>
      </c>
      <c r="Q28">
        <f t="shared" si="6"/>
        <v>38</v>
      </c>
      <c r="R28">
        <f t="shared" si="7"/>
        <v>-0.18715402969568171</v>
      </c>
    </row>
    <row r="29" spans="1:18" x14ac:dyDescent="0.2">
      <c r="A29" t="s">
        <v>22</v>
      </c>
      <c r="B29" s="2" t="s">
        <v>324</v>
      </c>
      <c r="C29" s="3">
        <v>1740</v>
      </c>
      <c r="D29" s="2" t="s">
        <v>324</v>
      </c>
      <c r="E29" s="3">
        <v>2356</v>
      </c>
      <c r="F29" s="1">
        <v>0.26</v>
      </c>
      <c r="G29">
        <v>-5</v>
      </c>
      <c r="H29" t="s">
        <v>25</v>
      </c>
      <c r="I29">
        <f t="shared" si="9"/>
        <v>4.8</v>
      </c>
      <c r="J29" s="3">
        <f t="shared" si="0"/>
        <v>616</v>
      </c>
      <c r="K29" t="str">
        <f t="shared" si="1"/>
        <v>Excellent</v>
      </c>
      <c r="L29" s="4">
        <f t="shared" si="2"/>
        <v>0.73853989813242782</v>
      </c>
      <c r="M29" t="str">
        <f t="shared" si="3"/>
        <v>High Discount</v>
      </c>
      <c r="O29" s="7">
        <f t="shared" si="4"/>
        <v>0.70772794975786268</v>
      </c>
      <c r="P29">
        <f t="shared" si="5"/>
        <v>3750</v>
      </c>
      <c r="Q29">
        <f t="shared" si="6"/>
        <v>38</v>
      </c>
      <c r="R29">
        <f t="shared" si="7"/>
        <v>-0.15891853369249473</v>
      </c>
    </row>
    <row r="30" spans="1:18" x14ac:dyDescent="0.2">
      <c r="A30" t="s">
        <v>177</v>
      </c>
      <c r="B30" s="2" t="s">
        <v>324</v>
      </c>
      <c r="C30" s="3">
        <v>2799</v>
      </c>
      <c r="D30" s="2" t="s">
        <v>324</v>
      </c>
      <c r="E30" s="3">
        <v>3810</v>
      </c>
      <c r="F30" s="1">
        <v>0.27</v>
      </c>
      <c r="I30" t="e">
        <f t="shared" si="9"/>
        <v>#VALUE!</v>
      </c>
      <c r="J30" s="3">
        <f t="shared" si="0"/>
        <v>1011</v>
      </c>
      <c r="K30" t="e">
        <f t="shared" si="1"/>
        <v>#VALUE!</v>
      </c>
      <c r="L30" s="4">
        <f t="shared" si="2"/>
        <v>0.73464566929133857</v>
      </c>
      <c r="M30" t="str">
        <f t="shared" si="3"/>
        <v>High Discount</v>
      </c>
      <c r="O30" s="7">
        <f t="shared" si="4"/>
        <v>0.69923029716040686</v>
      </c>
      <c r="P30">
        <f t="shared" si="5"/>
        <v>3750</v>
      </c>
      <c r="Q30">
        <f t="shared" si="6"/>
        <v>38</v>
      </c>
      <c r="R30">
        <f t="shared" si="7"/>
        <v>-0.19182539058510645</v>
      </c>
    </row>
    <row r="31" spans="1:18" x14ac:dyDescent="0.2">
      <c r="A31" t="s">
        <v>114</v>
      </c>
      <c r="B31" s="2" t="s">
        <v>324</v>
      </c>
      <c r="C31" s="3">
        <v>1980</v>
      </c>
      <c r="D31" s="2" t="s">
        <v>324</v>
      </c>
      <c r="E31" s="3">
        <v>2699</v>
      </c>
      <c r="F31" s="1">
        <v>0.27</v>
      </c>
      <c r="G31">
        <v>-32</v>
      </c>
      <c r="H31" t="s">
        <v>9</v>
      </c>
      <c r="I31">
        <f t="shared" si="9"/>
        <v>4.5</v>
      </c>
      <c r="J31" s="3">
        <f t="shared" si="0"/>
        <v>719</v>
      </c>
      <c r="K31" t="str">
        <f t="shared" si="1"/>
        <v>Excellent</v>
      </c>
      <c r="L31" s="4">
        <f t="shared" si="2"/>
        <v>0.73360503890329753</v>
      </c>
      <c r="M31" t="str">
        <f t="shared" si="3"/>
        <v>High Discount</v>
      </c>
      <c r="O31" s="7">
        <f t="shared" si="4"/>
        <v>0.69093633390581366</v>
      </c>
      <c r="P31">
        <f t="shared" si="5"/>
        <v>3750</v>
      </c>
      <c r="Q31">
        <f t="shared" si="6"/>
        <v>38</v>
      </c>
      <c r="R31">
        <f t="shared" si="7"/>
        <v>-0.19182539058510645</v>
      </c>
    </row>
    <row r="32" spans="1:18" x14ac:dyDescent="0.2">
      <c r="A32" t="s">
        <v>111</v>
      </c>
      <c r="B32" s="2" t="s">
        <v>324</v>
      </c>
      <c r="C32" s="3">
        <v>1940</v>
      </c>
      <c r="D32" s="2" t="s">
        <v>324</v>
      </c>
      <c r="E32" s="3">
        <v>2650</v>
      </c>
      <c r="F32" s="1">
        <v>0.27</v>
      </c>
      <c r="G32">
        <v>-20</v>
      </c>
      <c r="H32" t="s">
        <v>21</v>
      </c>
      <c r="I32">
        <f t="shared" si="9"/>
        <v>4.7</v>
      </c>
      <c r="J32" s="3">
        <f t="shared" si="0"/>
        <v>710</v>
      </c>
      <c r="K32" t="str">
        <f t="shared" si="1"/>
        <v>Excellent</v>
      </c>
      <c r="L32" s="4">
        <f t="shared" si="2"/>
        <v>0.73207547169811316</v>
      </c>
      <c r="M32" t="str">
        <f t="shared" si="3"/>
        <v>High Discount</v>
      </c>
      <c r="O32" s="7">
        <f t="shared" si="4"/>
        <v>0.68250445411715488</v>
      </c>
      <c r="P32">
        <f t="shared" si="5"/>
        <v>3750</v>
      </c>
      <c r="Q32">
        <f t="shared" si="6"/>
        <v>38</v>
      </c>
      <c r="R32">
        <f t="shared" si="7"/>
        <v>-0.13559478992857979</v>
      </c>
    </row>
    <row r="33" spans="1:18" x14ac:dyDescent="0.2">
      <c r="A33" t="s">
        <v>218</v>
      </c>
      <c r="B33" s="2" t="s">
        <v>324</v>
      </c>
      <c r="C33" s="3">
        <v>2300</v>
      </c>
      <c r="D33" s="2" t="s">
        <v>324</v>
      </c>
      <c r="E33" s="3">
        <v>3240</v>
      </c>
      <c r="F33" s="1">
        <v>0.28999999999999998</v>
      </c>
      <c r="G33">
        <v>-5</v>
      </c>
      <c r="H33" t="s">
        <v>189</v>
      </c>
      <c r="I33">
        <f t="shared" si="9"/>
        <v>3</v>
      </c>
      <c r="J33" s="3">
        <f t="shared" si="0"/>
        <v>940</v>
      </c>
      <c r="K33" t="str">
        <f t="shared" si="1"/>
        <v>Average</v>
      </c>
      <c r="L33" s="4">
        <f t="shared" si="2"/>
        <v>0.70987654320987659</v>
      </c>
      <c r="M33" t="str">
        <f t="shared" si="3"/>
        <v>High Discount</v>
      </c>
      <c r="O33" s="7">
        <f t="shared" si="4"/>
        <v>0.67421368654357694</v>
      </c>
      <c r="P33">
        <f t="shared" si="5"/>
        <v>3750</v>
      </c>
      <c r="Q33">
        <f t="shared" si="6"/>
        <v>38</v>
      </c>
      <c r="R33">
        <f t="shared" si="7"/>
        <v>-0.11303720526836848</v>
      </c>
    </row>
    <row r="34" spans="1:18" x14ac:dyDescent="0.2">
      <c r="A34" t="s">
        <v>97</v>
      </c>
      <c r="B34" s="2" t="s">
        <v>324</v>
      </c>
      <c r="C34" s="3">
        <v>1758</v>
      </c>
      <c r="D34" s="2" t="s">
        <v>324</v>
      </c>
      <c r="E34" s="3">
        <v>2499</v>
      </c>
      <c r="F34" s="1">
        <v>0.3</v>
      </c>
      <c r="G34">
        <v>-20</v>
      </c>
      <c r="H34" t="s">
        <v>13</v>
      </c>
      <c r="I34">
        <f t="shared" si="9"/>
        <v>4.0999999999999996</v>
      </c>
      <c r="J34" s="3">
        <f t="shared" ref="J34:J65" si="10">E34-C34</f>
        <v>741</v>
      </c>
      <c r="K34" t="str">
        <f t="shared" ref="K34:K65" si="11">IF(I34&lt;3,"Poor",IF(I34&lt;4.5,"Average","Excellent"))</f>
        <v>Average</v>
      </c>
      <c r="L34" s="4">
        <f t="shared" ref="L34:L65" si="12">C34/E34</f>
        <v>0.7034813925570228</v>
      </c>
      <c r="M34" t="str">
        <f t="shared" ref="M34:M65" si="13">IF(L34&lt;20%,"Low Discount",IF(L34&lt;=40%,"Medium Discount","High Discount"))</f>
        <v>High Discount</v>
      </c>
      <c r="O34" s="7">
        <f t="shared" ref="O34:O65" si="14">AVERAGE(L34:L42)</f>
        <v>0.66776649861490744</v>
      </c>
      <c r="P34">
        <f t="shared" ref="P34:P65" si="15">MAX(C34:C145)</f>
        <v>3750</v>
      </c>
      <c r="Q34">
        <f t="shared" ref="Q34:Q65" si="16">MIN(C34:C145)</f>
        <v>38</v>
      </c>
      <c r="R34">
        <f t="shared" ref="R34:R65" si="17">CORREL(L34:L145,G34:G145)</f>
        <v>-0.14499971207893061</v>
      </c>
    </row>
    <row r="35" spans="1:18" x14ac:dyDescent="0.2">
      <c r="A35" t="s">
        <v>95</v>
      </c>
      <c r="B35" s="2" t="s">
        <v>324</v>
      </c>
      <c r="C35" s="3">
        <v>1350</v>
      </c>
      <c r="D35" s="2" t="s">
        <v>324</v>
      </c>
      <c r="E35" s="3">
        <v>1990</v>
      </c>
      <c r="F35" s="1">
        <v>0.32</v>
      </c>
      <c r="G35">
        <v>-13</v>
      </c>
      <c r="H35" t="s">
        <v>41</v>
      </c>
      <c r="I35">
        <f t="shared" si="9"/>
        <v>3.8</v>
      </c>
      <c r="J35" s="3">
        <f t="shared" si="10"/>
        <v>640</v>
      </c>
      <c r="K35" t="str">
        <f t="shared" si="11"/>
        <v>Average</v>
      </c>
      <c r="L35" s="4">
        <f t="shared" si="12"/>
        <v>0.67839195979899503</v>
      </c>
      <c r="M35" t="str">
        <f t="shared" si="13"/>
        <v>High Discount</v>
      </c>
      <c r="O35" s="7">
        <f t="shared" si="14"/>
        <v>0.66172966863304361</v>
      </c>
      <c r="P35">
        <f t="shared" si="15"/>
        <v>3750</v>
      </c>
      <c r="Q35">
        <f t="shared" si="16"/>
        <v>38</v>
      </c>
      <c r="R35">
        <f t="shared" si="17"/>
        <v>-0.12293123736052929</v>
      </c>
    </row>
    <row r="36" spans="1:18" x14ac:dyDescent="0.2">
      <c r="A36" t="s">
        <v>53</v>
      </c>
      <c r="B36" s="2" t="s">
        <v>324</v>
      </c>
      <c r="C36" s="3">
        <v>1680</v>
      </c>
      <c r="D36" s="2" t="s">
        <v>324</v>
      </c>
      <c r="E36" s="3">
        <v>2499</v>
      </c>
      <c r="F36" s="1">
        <v>0.33</v>
      </c>
      <c r="G36">
        <v>-9</v>
      </c>
      <c r="H36" t="s">
        <v>55</v>
      </c>
      <c r="I36">
        <f t="shared" si="9"/>
        <v>4.2</v>
      </c>
      <c r="J36" s="3">
        <f t="shared" si="10"/>
        <v>819</v>
      </c>
      <c r="K36" t="str">
        <f t="shared" si="11"/>
        <v>Average</v>
      </c>
      <c r="L36" s="4">
        <f t="shared" si="12"/>
        <v>0.67226890756302526</v>
      </c>
      <c r="M36" t="str">
        <f t="shared" si="13"/>
        <v>High Discount</v>
      </c>
      <c r="O36" s="7">
        <f t="shared" si="14"/>
        <v>0.65719218256124856</v>
      </c>
      <c r="P36">
        <f t="shared" si="15"/>
        <v>3750</v>
      </c>
      <c r="Q36">
        <f t="shared" si="16"/>
        <v>38</v>
      </c>
      <c r="R36">
        <f t="shared" si="17"/>
        <v>-0.12462939544907523</v>
      </c>
    </row>
    <row r="37" spans="1:18" x14ac:dyDescent="0.2">
      <c r="A37" t="s">
        <v>145</v>
      </c>
      <c r="B37" s="2" t="s">
        <v>324</v>
      </c>
      <c r="C37" s="3">
        <v>1190</v>
      </c>
      <c r="D37" s="2" t="s">
        <v>324</v>
      </c>
      <c r="E37" s="3">
        <v>1785</v>
      </c>
      <c r="F37" s="1">
        <v>0.33</v>
      </c>
      <c r="I37" t="e">
        <f t="shared" si="9"/>
        <v>#VALUE!</v>
      </c>
      <c r="J37" s="3">
        <f t="shared" si="10"/>
        <v>595</v>
      </c>
      <c r="K37" t="e">
        <f t="shared" si="11"/>
        <v>#VALUE!</v>
      </c>
      <c r="L37" s="4">
        <f t="shared" si="12"/>
        <v>0.66666666666666663</v>
      </c>
      <c r="M37" t="str">
        <f t="shared" si="13"/>
        <v>High Discount</v>
      </c>
      <c r="O37" s="7">
        <f t="shared" si="14"/>
        <v>0.6527459596276306</v>
      </c>
      <c r="P37">
        <f t="shared" si="15"/>
        <v>3750</v>
      </c>
      <c r="Q37">
        <f t="shared" si="16"/>
        <v>38</v>
      </c>
      <c r="R37">
        <f t="shared" si="17"/>
        <v>-0.14119170912244586</v>
      </c>
    </row>
    <row r="38" spans="1:18" x14ac:dyDescent="0.2">
      <c r="A38" t="s">
        <v>307</v>
      </c>
      <c r="B38" s="2" t="s">
        <v>324</v>
      </c>
      <c r="C38" s="3">
        <v>1150</v>
      </c>
      <c r="D38" s="2" t="s">
        <v>324</v>
      </c>
      <c r="E38" s="3">
        <v>1737</v>
      </c>
      <c r="F38" s="1">
        <v>0.34</v>
      </c>
      <c r="I38" t="e">
        <f t="shared" si="9"/>
        <v>#VALUE!</v>
      </c>
      <c r="J38" s="3">
        <f t="shared" si="10"/>
        <v>587</v>
      </c>
      <c r="K38" t="e">
        <f t="shared" si="11"/>
        <v>#VALUE!</v>
      </c>
      <c r="L38" s="4">
        <f t="shared" si="12"/>
        <v>0.66206102475532524</v>
      </c>
      <c r="M38" t="str">
        <f t="shared" si="13"/>
        <v>High Discount</v>
      </c>
      <c r="O38" s="7">
        <f t="shared" si="14"/>
        <v>0.64815149174202336</v>
      </c>
      <c r="P38">
        <f t="shared" si="15"/>
        <v>3750</v>
      </c>
      <c r="Q38">
        <f t="shared" si="16"/>
        <v>38</v>
      </c>
      <c r="R38">
        <f t="shared" si="17"/>
        <v>-0.14119170912244586</v>
      </c>
    </row>
    <row r="39" spans="1:18" x14ac:dyDescent="0.2">
      <c r="A39" t="s">
        <v>44</v>
      </c>
      <c r="B39" s="2" t="s">
        <v>324</v>
      </c>
      <c r="C39">
        <v>990</v>
      </c>
      <c r="D39" s="2" t="s">
        <v>324</v>
      </c>
      <c r="E39" s="3">
        <v>1500</v>
      </c>
      <c r="F39" s="1">
        <v>0.34</v>
      </c>
      <c r="G39">
        <v>-39</v>
      </c>
      <c r="H39" t="s">
        <v>21</v>
      </c>
      <c r="I39">
        <f t="shared" si="9"/>
        <v>4.7</v>
      </c>
      <c r="J39" s="3">
        <f t="shared" si="10"/>
        <v>510</v>
      </c>
      <c r="K39" t="str">
        <f t="shared" si="11"/>
        <v>Excellent</v>
      </c>
      <c r="L39" s="4">
        <f t="shared" si="12"/>
        <v>0.66</v>
      </c>
      <c r="M39" t="str">
        <f t="shared" si="13"/>
        <v>High Discount</v>
      </c>
      <c r="O39" s="7">
        <f t="shared" si="14"/>
        <v>0.64380591339944626</v>
      </c>
      <c r="P39">
        <f t="shared" si="15"/>
        <v>3750</v>
      </c>
      <c r="Q39">
        <f t="shared" si="16"/>
        <v>38</v>
      </c>
      <c r="R39">
        <f t="shared" si="17"/>
        <v>-0.14119170912244586</v>
      </c>
    </row>
    <row r="40" spans="1:18" x14ac:dyDescent="0.2">
      <c r="A40" t="s">
        <v>105</v>
      </c>
      <c r="B40" s="2" t="s">
        <v>324</v>
      </c>
      <c r="C40">
        <v>980</v>
      </c>
      <c r="D40" s="2" t="s">
        <v>324</v>
      </c>
      <c r="E40" s="3">
        <v>1490</v>
      </c>
      <c r="F40" s="1">
        <v>0.34</v>
      </c>
      <c r="G40">
        <v>-12</v>
      </c>
      <c r="H40" t="s">
        <v>21</v>
      </c>
      <c r="I40">
        <f t="shared" si="9"/>
        <v>4.7</v>
      </c>
      <c r="J40" s="3">
        <f t="shared" si="10"/>
        <v>510</v>
      </c>
      <c r="K40" t="str">
        <f t="shared" si="11"/>
        <v>Excellent</v>
      </c>
      <c r="L40" s="4">
        <f t="shared" si="12"/>
        <v>0.65771812080536918</v>
      </c>
      <c r="M40" t="str">
        <f t="shared" si="13"/>
        <v>High Discount</v>
      </c>
      <c r="O40" s="7">
        <f t="shared" si="14"/>
        <v>0.63884864844218137</v>
      </c>
      <c r="P40">
        <f t="shared" si="15"/>
        <v>3750</v>
      </c>
      <c r="Q40">
        <f t="shared" si="16"/>
        <v>38</v>
      </c>
      <c r="R40">
        <f t="shared" si="17"/>
        <v>-5.3597195384296289E-2</v>
      </c>
    </row>
    <row r="41" spans="1:18" x14ac:dyDescent="0.2">
      <c r="A41" t="s">
        <v>310</v>
      </c>
      <c r="B41" s="2" t="s">
        <v>324</v>
      </c>
      <c r="C41" s="3">
        <v>1190</v>
      </c>
      <c r="D41" s="2" t="s">
        <v>324</v>
      </c>
      <c r="E41" s="3">
        <v>1810</v>
      </c>
      <c r="F41" s="1">
        <v>0.34</v>
      </c>
      <c r="I41" t="e">
        <f t="shared" si="9"/>
        <v>#VALUE!</v>
      </c>
      <c r="J41" s="3">
        <f t="shared" si="10"/>
        <v>620</v>
      </c>
      <c r="K41" t="e">
        <f t="shared" si="11"/>
        <v>#VALUE!</v>
      </c>
      <c r="L41" s="4">
        <f t="shared" si="12"/>
        <v>0.65745856353591159</v>
      </c>
      <c r="M41" t="str">
        <f t="shared" si="13"/>
        <v>High Discount</v>
      </c>
      <c r="O41" s="7">
        <f t="shared" si="14"/>
        <v>0.63411051583151012</v>
      </c>
      <c r="P41">
        <f t="shared" si="15"/>
        <v>3750</v>
      </c>
      <c r="Q41">
        <f t="shared" si="16"/>
        <v>38</v>
      </c>
      <c r="R41">
        <f t="shared" si="17"/>
        <v>-5.2800360573404315E-2</v>
      </c>
    </row>
    <row r="42" spans="1:18" x14ac:dyDescent="0.2">
      <c r="A42" t="s">
        <v>78</v>
      </c>
      <c r="B42" s="2" t="s">
        <v>324</v>
      </c>
      <c r="C42">
        <v>880</v>
      </c>
      <c r="D42" s="2" t="s">
        <v>324</v>
      </c>
      <c r="E42" s="3">
        <v>1350</v>
      </c>
      <c r="F42" s="1">
        <v>0.35</v>
      </c>
      <c r="G42">
        <v>-6</v>
      </c>
      <c r="H42" t="s">
        <v>29</v>
      </c>
      <c r="I42">
        <f t="shared" si="9"/>
        <v>4</v>
      </c>
      <c r="J42" s="3">
        <f t="shared" si="10"/>
        <v>470</v>
      </c>
      <c r="K42" t="str">
        <f t="shared" si="11"/>
        <v>Average</v>
      </c>
      <c r="L42" s="4">
        <f t="shared" si="12"/>
        <v>0.6518518518518519</v>
      </c>
      <c r="M42" t="str">
        <f t="shared" si="13"/>
        <v>High Discount</v>
      </c>
      <c r="O42" s="7">
        <f t="shared" si="14"/>
        <v>0.62888744429930332</v>
      </c>
      <c r="P42">
        <f t="shared" si="15"/>
        <v>3750</v>
      </c>
      <c r="Q42">
        <f t="shared" si="16"/>
        <v>38</v>
      </c>
      <c r="R42">
        <f t="shared" si="17"/>
        <v>-5.2800360573404315E-2</v>
      </c>
    </row>
    <row r="43" spans="1:18" x14ac:dyDescent="0.2">
      <c r="A43" t="s">
        <v>89</v>
      </c>
      <c r="B43" s="2" t="s">
        <v>324</v>
      </c>
      <c r="C43">
        <v>420</v>
      </c>
      <c r="D43" s="2" t="s">
        <v>324</v>
      </c>
      <c r="E43">
        <v>647</v>
      </c>
      <c r="F43" s="1">
        <v>0.35</v>
      </c>
      <c r="G43">
        <v>-49</v>
      </c>
      <c r="H43" t="s">
        <v>17</v>
      </c>
      <c r="I43">
        <f t="shared" si="9"/>
        <v>4.5999999999999996</v>
      </c>
      <c r="J43" s="3">
        <f t="shared" si="10"/>
        <v>227</v>
      </c>
      <c r="K43" t="str">
        <f t="shared" si="11"/>
        <v>Excellent</v>
      </c>
      <c r="L43" s="4">
        <f t="shared" si="12"/>
        <v>0.6491499227202473</v>
      </c>
      <c r="M43" t="str">
        <f t="shared" si="13"/>
        <v>High Discount</v>
      </c>
      <c r="O43" s="7">
        <f t="shared" si="14"/>
        <v>0.62337395890147262</v>
      </c>
      <c r="P43">
        <f t="shared" si="15"/>
        <v>3750</v>
      </c>
      <c r="Q43">
        <f t="shared" si="16"/>
        <v>38</v>
      </c>
      <c r="R43">
        <f t="shared" si="17"/>
        <v>-7.6992214063472508E-2</v>
      </c>
    </row>
    <row r="44" spans="1:18" x14ac:dyDescent="0.2">
      <c r="A44" t="s">
        <v>248</v>
      </c>
      <c r="B44" s="2" t="s">
        <v>324</v>
      </c>
      <c r="C44" s="3">
        <v>1460</v>
      </c>
      <c r="D44" s="2" t="s">
        <v>324</v>
      </c>
      <c r="E44" s="3">
        <v>2290</v>
      </c>
      <c r="F44" s="1">
        <v>0.36</v>
      </c>
      <c r="I44" t="e">
        <f t="shared" si="9"/>
        <v>#VALUE!</v>
      </c>
      <c r="J44" s="3">
        <f t="shared" si="10"/>
        <v>830</v>
      </c>
      <c r="K44" t="e">
        <f t="shared" si="11"/>
        <v>#VALUE!</v>
      </c>
      <c r="L44" s="4">
        <f t="shared" si="12"/>
        <v>0.63755458515283847</v>
      </c>
      <c r="M44" t="str">
        <f t="shared" si="13"/>
        <v>High Discount</v>
      </c>
      <c r="O44" s="7">
        <f t="shared" si="14"/>
        <v>0.61735026847264052</v>
      </c>
      <c r="P44">
        <f t="shared" si="15"/>
        <v>3750</v>
      </c>
      <c r="Q44">
        <f t="shared" si="16"/>
        <v>38</v>
      </c>
      <c r="R44">
        <f t="shared" si="17"/>
        <v>9.7240660688194411E-2</v>
      </c>
    </row>
    <row r="45" spans="1:18" x14ac:dyDescent="0.2">
      <c r="A45" t="s">
        <v>18</v>
      </c>
      <c r="B45" s="2" t="s">
        <v>324</v>
      </c>
      <c r="C45" s="3">
        <v>1580</v>
      </c>
      <c r="D45" s="2" t="s">
        <v>324</v>
      </c>
      <c r="E45" s="3">
        <v>2499</v>
      </c>
      <c r="F45" s="1">
        <v>0.37</v>
      </c>
      <c r="G45">
        <v>-7</v>
      </c>
      <c r="H45" t="s">
        <v>21</v>
      </c>
      <c r="I45">
        <f t="shared" si="9"/>
        <v>4.7</v>
      </c>
      <c r="J45" s="3">
        <f t="shared" si="10"/>
        <v>919</v>
      </c>
      <c r="K45" t="str">
        <f t="shared" si="11"/>
        <v>Excellent</v>
      </c>
      <c r="L45" s="4">
        <f t="shared" si="12"/>
        <v>0.63225290116046418</v>
      </c>
      <c r="M45" t="str">
        <f t="shared" si="13"/>
        <v>High Discount</v>
      </c>
      <c r="O45" s="7">
        <f t="shared" si="14"/>
        <v>0.61239840399766399</v>
      </c>
      <c r="P45">
        <f t="shared" si="15"/>
        <v>3750</v>
      </c>
      <c r="Q45">
        <f t="shared" si="16"/>
        <v>38</v>
      </c>
      <c r="R45">
        <f t="shared" si="17"/>
        <v>9.7240660688194411E-2</v>
      </c>
    </row>
    <row r="46" spans="1:18" x14ac:dyDescent="0.2">
      <c r="A46" t="s">
        <v>33</v>
      </c>
      <c r="B46" s="2" t="s">
        <v>324</v>
      </c>
      <c r="C46">
        <v>988</v>
      </c>
      <c r="D46" s="2" t="s">
        <v>324</v>
      </c>
      <c r="E46" s="3">
        <v>1580</v>
      </c>
      <c r="F46" s="1">
        <v>0.37</v>
      </c>
      <c r="G46">
        <v>-2</v>
      </c>
      <c r="H46" t="s">
        <v>29</v>
      </c>
      <c r="I46">
        <f t="shared" ref="I46:I77" si="18">VALUE(LEFT(H46, FIND(" ", H46)-1))</f>
        <v>4</v>
      </c>
      <c r="J46" s="3">
        <f t="shared" si="10"/>
        <v>592</v>
      </c>
      <c r="K46" t="str">
        <f t="shared" si="11"/>
        <v>Average</v>
      </c>
      <c r="L46" s="4">
        <f t="shared" si="12"/>
        <v>0.62531645569620253</v>
      </c>
      <c r="M46" t="str">
        <f t="shared" si="13"/>
        <v>High Discount</v>
      </c>
      <c r="O46" s="7">
        <f t="shared" si="14"/>
        <v>0.60734551048029373</v>
      </c>
      <c r="P46">
        <f t="shared" si="15"/>
        <v>3750</v>
      </c>
      <c r="Q46">
        <f t="shared" si="16"/>
        <v>38</v>
      </c>
      <c r="R46">
        <f t="shared" si="17"/>
        <v>8.9534966494475357E-2</v>
      </c>
    </row>
    <row r="47" spans="1:18" x14ac:dyDescent="0.2">
      <c r="A47" t="s">
        <v>6</v>
      </c>
      <c r="B47" s="2" t="s">
        <v>324</v>
      </c>
      <c r="C47">
        <v>950</v>
      </c>
      <c r="D47" s="2" t="s">
        <v>324</v>
      </c>
      <c r="E47" s="3">
        <v>1525</v>
      </c>
      <c r="F47" s="1">
        <v>0.38</v>
      </c>
      <c r="G47">
        <v>-2</v>
      </c>
      <c r="H47" t="s">
        <v>9</v>
      </c>
      <c r="I47">
        <f t="shared" si="18"/>
        <v>4.5</v>
      </c>
      <c r="J47" s="3">
        <f t="shared" si="10"/>
        <v>575</v>
      </c>
      <c r="K47" t="str">
        <f t="shared" si="11"/>
        <v>Excellent</v>
      </c>
      <c r="L47" s="4">
        <f t="shared" si="12"/>
        <v>0.62295081967213117</v>
      </c>
      <c r="M47" t="str">
        <f t="shared" si="13"/>
        <v>High Discount</v>
      </c>
      <c r="N47" s="6">
        <f>AVERAGE(E47:E158)</f>
        <v>1602.9104477611941</v>
      </c>
      <c r="O47" s="7">
        <f t="shared" si="14"/>
        <v>0.60259458646236952</v>
      </c>
      <c r="P47">
        <f t="shared" si="15"/>
        <v>3750</v>
      </c>
      <c r="Q47">
        <f t="shared" si="16"/>
        <v>38</v>
      </c>
      <c r="R47">
        <f t="shared" si="17"/>
        <v>5.6779313912882774E-2</v>
      </c>
    </row>
    <row r="48" spans="1:18" x14ac:dyDescent="0.2">
      <c r="A48" t="s">
        <v>151</v>
      </c>
      <c r="B48" s="2" t="s">
        <v>324</v>
      </c>
      <c r="C48" s="3">
        <v>1200</v>
      </c>
      <c r="D48" s="2" t="s">
        <v>324</v>
      </c>
      <c r="E48" s="3">
        <v>1950</v>
      </c>
      <c r="F48" s="1">
        <v>0.38</v>
      </c>
      <c r="I48" t="e">
        <f t="shared" si="18"/>
        <v>#VALUE!</v>
      </c>
      <c r="J48" s="3">
        <f t="shared" si="10"/>
        <v>750</v>
      </c>
      <c r="K48" t="e">
        <f t="shared" si="11"/>
        <v>#VALUE!</v>
      </c>
      <c r="L48" s="4">
        <f t="shared" si="12"/>
        <v>0.61538461538461542</v>
      </c>
      <c r="M48" t="str">
        <f t="shared" si="13"/>
        <v>High Discount</v>
      </c>
      <c r="O48" s="7">
        <f t="shared" si="14"/>
        <v>0.59756002333799885</v>
      </c>
      <c r="P48">
        <f t="shared" si="15"/>
        <v>3750</v>
      </c>
      <c r="Q48">
        <f t="shared" si="16"/>
        <v>38</v>
      </c>
      <c r="R48">
        <f t="shared" si="17"/>
        <v>1.7112802963169783E-2</v>
      </c>
    </row>
    <row r="49" spans="1:18" x14ac:dyDescent="0.2">
      <c r="A49" t="s">
        <v>128</v>
      </c>
      <c r="B49" s="2" t="s">
        <v>324</v>
      </c>
      <c r="C49" s="3">
        <v>2750</v>
      </c>
      <c r="D49" s="2" t="s">
        <v>324</v>
      </c>
      <c r="E49" s="3">
        <v>4471</v>
      </c>
      <c r="F49" s="1">
        <v>0.38</v>
      </c>
      <c r="I49" t="e">
        <f t="shared" si="18"/>
        <v>#VALUE!</v>
      </c>
      <c r="J49" s="3">
        <f t="shared" si="10"/>
        <v>1721</v>
      </c>
      <c r="K49" t="e">
        <f t="shared" si="11"/>
        <v>#VALUE!</v>
      </c>
      <c r="L49" s="4">
        <f t="shared" si="12"/>
        <v>0.61507492730932678</v>
      </c>
      <c r="M49" t="str">
        <f t="shared" si="13"/>
        <v>High Discount</v>
      </c>
      <c r="O49" s="7">
        <f t="shared" si="14"/>
        <v>0.59321810650942242</v>
      </c>
      <c r="P49">
        <f t="shared" si="15"/>
        <v>3750</v>
      </c>
      <c r="Q49">
        <f t="shared" si="16"/>
        <v>38</v>
      </c>
      <c r="R49">
        <f t="shared" si="17"/>
        <v>1.7112802963169783E-2</v>
      </c>
    </row>
    <row r="50" spans="1:18" x14ac:dyDescent="0.2">
      <c r="A50" t="s">
        <v>212</v>
      </c>
      <c r="B50" s="2" t="s">
        <v>324</v>
      </c>
      <c r="C50" s="3">
        <v>3750</v>
      </c>
      <c r="D50" s="2" t="s">
        <v>324</v>
      </c>
      <c r="E50" s="3">
        <v>6143</v>
      </c>
      <c r="F50" s="1">
        <v>0.39</v>
      </c>
      <c r="G50">
        <v>-5</v>
      </c>
      <c r="H50" t="s">
        <v>189</v>
      </c>
      <c r="I50">
        <f t="shared" si="18"/>
        <v>3</v>
      </c>
      <c r="J50" s="3">
        <f t="shared" si="10"/>
        <v>2393</v>
      </c>
      <c r="K50" t="str">
        <f t="shared" si="11"/>
        <v>Average</v>
      </c>
      <c r="L50" s="4">
        <f t="shared" si="12"/>
        <v>0.61045091974605237</v>
      </c>
      <c r="M50" t="str">
        <f t="shared" si="13"/>
        <v>High Discount</v>
      </c>
      <c r="O50" s="7">
        <f t="shared" si="14"/>
        <v>0.58881774770985351</v>
      </c>
      <c r="P50">
        <f t="shared" si="15"/>
        <v>3750</v>
      </c>
      <c r="Q50">
        <f t="shared" si="16"/>
        <v>38</v>
      </c>
      <c r="R50">
        <f t="shared" si="17"/>
        <v>1.7112802963169783E-2</v>
      </c>
    </row>
    <row r="51" spans="1:18" x14ac:dyDescent="0.2">
      <c r="A51" t="s">
        <v>117</v>
      </c>
      <c r="B51" s="2" t="s">
        <v>324</v>
      </c>
      <c r="C51" s="3">
        <v>1620</v>
      </c>
      <c r="D51" s="2" t="s">
        <v>324</v>
      </c>
      <c r="E51" s="3">
        <v>2690</v>
      </c>
      <c r="F51" s="1">
        <v>0.4</v>
      </c>
      <c r="G51">
        <v>-1</v>
      </c>
      <c r="H51" t="s">
        <v>59</v>
      </c>
      <c r="I51">
        <f t="shared" si="18"/>
        <v>5</v>
      </c>
      <c r="J51" s="3">
        <f t="shared" si="10"/>
        <v>1070</v>
      </c>
      <c r="K51" t="str">
        <f t="shared" si="11"/>
        <v>Excellent</v>
      </c>
      <c r="L51" s="4">
        <f t="shared" si="12"/>
        <v>0.60223048327137552</v>
      </c>
      <c r="M51" t="str">
        <f t="shared" si="13"/>
        <v>High Discount</v>
      </c>
      <c r="O51" s="7">
        <f t="shared" si="14"/>
        <v>0.58487875662695898</v>
      </c>
      <c r="P51">
        <f t="shared" si="15"/>
        <v>2200</v>
      </c>
      <c r="Q51">
        <f t="shared" si="16"/>
        <v>38</v>
      </c>
      <c r="R51">
        <f t="shared" si="17"/>
        <v>-1.1001615586788957E-2</v>
      </c>
    </row>
    <row r="52" spans="1:18" x14ac:dyDescent="0.2">
      <c r="A52" t="s">
        <v>168</v>
      </c>
      <c r="B52" s="2" t="s">
        <v>324</v>
      </c>
      <c r="C52">
        <v>799</v>
      </c>
      <c r="D52" s="2" t="s">
        <v>324</v>
      </c>
      <c r="E52" s="3">
        <v>1343</v>
      </c>
      <c r="F52" s="1">
        <v>0.41</v>
      </c>
      <c r="I52" t="e">
        <f t="shared" si="18"/>
        <v>#VALUE!</v>
      </c>
      <c r="J52" s="3">
        <f t="shared" si="10"/>
        <v>544</v>
      </c>
      <c r="K52" t="e">
        <f t="shared" si="11"/>
        <v>#VALUE!</v>
      </c>
      <c r="L52" s="4">
        <f t="shared" si="12"/>
        <v>0.59493670886075944</v>
      </c>
      <c r="M52" t="str">
        <f t="shared" si="13"/>
        <v>High Discount</v>
      </c>
      <c r="O52" s="7">
        <f t="shared" si="14"/>
        <v>0.58164089192977031</v>
      </c>
      <c r="P52">
        <f t="shared" si="15"/>
        <v>2200</v>
      </c>
      <c r="Q52">
        <f t="shared" si="16"/>
        <v>38</v>
      </c>
      <c r="R52">
        <f t="shared" si="17"/>
        <v>-6.4930274687325401E-2</v>
      </c>
    </row>
    <row r="53" spans="1:18" x14ac:dyDescent="0.2">
      <c r="A53" t="s">
        <v>122</v>
      </c>
      <c r="B53" s="2" t="s">
        <v>324</v>
      </c>
      <c r="C53">
        <v>389</v>
      </c>
      <c r="D53" s="2" t="s">
        <v>324</v>
      </c>
      <c r="E53">
        <v>656</v>
      </c>
      <c r="F53" s="1">
        <v>0.41</v>
      </c>
      <c r="G53">
        <v>-36</v>
      </c>
      <c r="H53" t="s">
        <v>88</v>
      </c>
      <c r="I53">
        <f t="shared" si="18"/>
        <v>4.3</v>
      </c>
      <c r="J53" s="3">
        <f t="shared" si="10"/>
        <v>267</v>
      </c>
      <c r="K53" t="str">
        <f t="shared" si="11"/>
        <v>Average</v>
      </c>
      <c r="L53" s="4">
        <f t="shared" si="12"/>
        <v>0.59298780487804881</v>
      </c>
      <c r="M53" t="str">
        <f t="shared" si="13"/>
        <v>High Discount</v>
      </c>
      <c r="O53" s="7">
        <f t="shared" si="14"/>
        <v>0.57917317680382729</v>
      </c>
      <c r="P53">
        <f t="shared" si="15"/>
        <v>2200</v>
      </c>
      <c r="Q53">
        <f t="shared" si="16"/>
        <v>38</v>
      </c>
      <c r="R53">
        <f t="shared" si="17"/>
        <v>-6.4930274687325401E-2</v>
      </c>
    </row>
    <row r="54" spans="1:18" x14ac:dyDescent="0.2">
      <c r="A54" t="s">
        <v>298</v>
      </c>
      <c r="B54" s="2" t="s">
        <v>324</v>
      </c>
      <c r="C54" s="3">
        <v>1420</v>
      </c>
      <c r="D54" s="2" t="s">
        <v>324</v>
      </c>
      <c r="E54" s="3">
        <v>2420</v>
      </c>
      <c r="F54" s="1">
        <v>0.41</v>
      </c>
      <c r="I54" t="e">
        <f t="shared" si="18"/>
        <v>#VALUE!</v>
      </c>
      <c r="J54" s="3">
        <f t="shared" si="10"/>
        <v>1000</v>
      </c>
      <c r="K54" t="e">
        <f t="shared" si="11"/>
        <v>#VALUE!</v>
      </c>
      <c r="L54" s="4">
        <f t="shared" si="12"/>
        <v>0.58677685950413228</v>
      </c>
      <c r="M54" t="str">
        <f t="shared" si="13"/>
        <v>High Discount</v>
      </c>
      <c r="O54" s="7">
        <f t="shared" si="14"/>
        <v>0.57619504844078628</v>
      </c>
      <c r="P54">
        <f t="shared" si="15"/>
        <v>2200</v>
      </c>
      <c r="Q54">
        <f t="shared" si="16"/>
        <v>38</v>
      </c>
      <c r="R54">
        <f t="shared" si="17"/>
        <v>6.776040362958452E-2</v>
      </c>
    </row>
    <row r="55" spans="1:18" x14ac:dyDescent="0.2">
      <c r="A55" t="s">
        <v>50</v>
      </c>
      <c r="B55" s="2" t="s">
        <v>324</v>
      </c>
      <c r="C55">
        <v>501</v>
      </c>
      <c r="D55" s="2" t="s">
        <v>324</v>
      </c>
      <c r="E55">
        <v>860</v>
      </c>
      <c r="F55" s="1">
        <v>0.42</v>
      </c>
      <c r="G55">
        <v>-6</v>
      </c>
      <c r="H55" t="s">
        <v>9</v>
      </c>
      <c r="I55">
        <f t="shared" si="18"/>
        <v>4.5</v>
      </c>
      <c r="J55" s="3">
        <f t="shared" si="10"/>
        <v>359</v>
      </c>
      <c r="K55" t="str">
        <f t="shared" si="11"/>
        <v>Excellent</v>
      </c>
      <c r="L55" s="4">
        <f t="shared" si="12"/>
        <v>0.58255813953488367</v>
      </c>
      <c r="M55" t="str">
        <f t="shared" si="13"/>
        <v>High Discount</v>
      </c>
      <c r="O55" s="7">
        <f t="shared" si="14"/>
        <v>0.57260255787859859</v>
      </c>
      <c r="P55">
        <f t="shared" si="15"/>
        <v>2200</v>
      </c>
      <c r="Q55">
        <f t="shared" si="16"/>
        <v>38</v>
      </c>
      <c r="R55">
        <f t="shared" si="17"/>
        <v>6.776040362958452E-2</v>
      </c>
    </row>
    <row r="56" spans="1:18" x14ac:dyDescent="0.2">
      <c r="A56" t="s">
        <v>75</v>
      </c>
      <c r="B56" s="2" t="s">
        <v>324</v>
      </c>
      <c r="C56" s="3">
        <v>1860</v>
      </c>
      <c r="D56" s="2" t="s">
        <v>324</v>
      </c>
      <c r="E56" s="3">
        <v>3220</v>
      </c>
      <c r="F56" s="1">
        <v>0.42</v>
      </c>
      <c r="I56" t="e">
        <f t="shared" si="18"/>
        <v>#VALUE!</v>
      </c>
      <c r="J56" s="3">
        <f t="shared" si="10"/>
        <v>1360</v>
      </c>
      <c r="K56" t="e">
        <f t="shared" si="11"/>
        <v>#VALUE!</v>
      </c>
      <c r="L56" s="4">
        <f t="shared" si="12"/>
        <v>0.57763975155279501</v>
      </c>
      <c r="M56" t="str">
        <f t="shared" si="13"/>
        <v>High Discount</v>
      </c>
      <c r="O56" s="7">
        <f t="shared" si="14"/>
        <v>0.56856960045294413</v>
      </c>
      <c r="P56">
        <f t="shared" si="15"/>
        <v>2200</v>
      </c>
      <c r="Q56">
        <f t="shared" si="16"/>
        <v>38</v>
      </c>
      <c r="R56">
        <f t="shared" si="17"/>
        <v>4.9405708327903239E-2</v>
      </c>
    </row>
    <row r="57" spans="1:18" x14ac:dyDescent="0.2">
      <c r="A57" t="s">
        <v>292</v>
      </c>
      <c r="B57" s="2" t="s">
        <v>324</v>
      </c>
      <c r="C57" s="3">
        <v>1080</v>
      </c>
      <c r="D57" s="2" t="s">
        <v>324</v>
      </c>
      <c r="E57" s="3">
        <v>1874</v>
      </c>
      <c r="F57" s="1">
        <v>0.42</v>
      </c>
      <c r="I57" t="e">
        <f t="shared" si="18"/>
        <v>#VALUE!</v>
      </c>
      <c r="J57" s="3">
        <f t="shared" si="10"/>
        <v>794</v>
      </c>
      <c r="K57" t="e">
        <f t="shared" si="11"/>
        <v>#VALUE!</v>
      </c>
      <c r="L57" s="4">
        <f t="shared" si="12"/>
        <v>0.57630736392742798</v>
      </c>
      <c r="M57" t="str">
        <f t="shared" si="13"/>
        <v>High Discount</v>
      </c>
      <c r="O57" s="7">
        <f t="shared" si="14"/>
        <v>0.56502687661876749</v>
      </c>
      <c r="P57">
        <f t="shared" si="15"/>
        <v>2200</v>
      </c>
      <c r="Q57">
        <f t="shared" si="16"/>
        <v>38</v>
      </c>
      <c r="R57">
        <f t="shared" si="17"/>
        <v>4.9405708327903239E-2</v>
      </c>
    </row>
    <row r="58" spans="1:18" x14ac:dyDescent="0.2">
      <c r="A58" t="s">
        <v>137</v>
      </c>
      <c r="B58" s="2" t="s">
        <v>324</v>
      </c>
      <c r="C58">
        <v>610</v>
      </c>
      <c r="D58" s="2" t="s">
        <v>324</v>
      </c>
      <c r="E58" s="3">
        <v>1060</v>
      </c>
      <c r="F58" s="1">
        <v>0.42</v>
      </c>
      <c r="I58" t="e">
        <f t="shared" si="18"/>
        <v>#VALUE!</v>
      </c>
      <c r="J58" s="3">
        <f t="shared" si="10"/>
        <v>450</v>
      </c>
      <c r="K58" t="e">
        <f t="shared" si="11"/>
        <v>#VALUE!</v>
      </c>
      <c r="L58" s="4">
        <f t="shared" si="12"/>
        <v>0.57547169811320753</v>
      </c>
      <c r="M58" t="str">
        <f t="shared" si="13"/>
        <v>High Discount</v>
      </c>
      <c r="O58" s="7">
        <f t="shared" si="14"/>
        <v>0.56162764570619617</v>
      </c>
      <c r="P58">
        <f t="shared" si="15"/>
        <v>2200</v>
      </c>
      <c r="Q58">
        <f t="shared" si="16"/>
        <v>38</v>
      </c>
      <c r="R58">
        <f t="shared" si="17"/>
        <v>4.9405708327903239E-2</v>
      </c>
    </row>
    <row r="59" spans="1:18" x14ac:dyDescent="0.2">
      <c r="A59" t="s">
        <v>235</v>
      </c>
      <c r="B59" s="2" t="s">
        <v>324</v>
      </c>
      <c r="C59">
        <v>690</v>
      </c>
      <c r="D59" s="2" t="s">
        <v>324</v>
      </c>
      <c r="E59" s="3">
        <v>1200</v>
      </c>
      <c r="F59" s="1">
        <v>0.43</v>
      </c>
      <c r="I59" t="e">
        <f t="shared" si="18"/>
        <v>#VALUE!</v>
      </c>
      <c r="J59" s="3">
        <f t="shared" si="10"/>
        <v>510</v>
      </c>
      <c r="K59" t="e">
        <f t="shared" si="11"/>
        <v>#VALUE!</v>
      </c>
      <c r="L59" s="4">
        <f t="shared" si="12"/>
        <v>0.57499999999999996</v>
      </c>
      <c r="M59" t="str">
        <f t="shared" si="13"/>
        <v>High Discount</v>
      </c>
      <c r="O59" s="7">
        <f t="shared" si="14"/>
        <v>0.55787153110102494</v>
      </c>
      <c r="P59">
        <f t="shared" si="15"/>
        <v>2200</v>
      </c>
      <c r="Q59">
        <f t="shared" si="16"/>
        <v>38</v>
      </c>
      <c r="R59">
        <f t="shared" si="17"/>
        <v>4.9405708327903239E-2</v>
      </c>
    </row>
    <row r="60" spans="1:18" x14ac:dyDescent="0.2">
      <c r="A60" t="s">
        <v>221</v>
      </c>
      <c r="B60" s="2" t="s">
        <v>324</v>
      </c>
      <c r="C60">
        <v>345</v>
      </c>
      <c r="D60" s="2" t="s">
        <v>324</v>
      </c>
      <c r="E60">
        <v>602</v>
      </c>
      <c r="F60" s="1">
        <v>0.43</v>
      </c>
      <c r="G60">
        <v>-6</v>
      </c>
      <c r="H60" t="s">
        <v>211</v>
      </c>
      <c r="I60">
        <f t="shared" si="18"/>
        <v>2.2999999999999998</v>
      </c>
      <c r="J60" s="3">
        <f t="shared" si="10"/>
        <v>257</v>
      </c>
      <c r="K60" t="str">
        <f t="shared" si="11"/>
        <v>Poor</v>
      </c>
      <c r="L60" s="4">
        <f t="shared" si="12"/>
        <v>0.57308970099667778</v>
      </c>
      <c r="M60" t="str">
        <f t="shared" si="13"/>
        <v>High Discount</v>
      </c>
      <c r="O60" s="7">
        <f t="shared" si="14"/>
        <v>0.5540604553595263</v>
      </c>
      <c r="P60">
        <f t="shared" si="15"/>
        <v>2200</v>
      </c>
      <c r="Q60">
        <f t="shared" si="16"/>
        <v>38</v>
      </c>
      <c r="R60">
        <f t="shared" si="17"/>
        <v>4.9405708327903239E-2</v>
      </c>
    </row>
    <row r="61" spans="1:18" x14ac:dyDescent="0.2">
      <c r="A61" t="s">
        <v>266</v>
      </c>
      <c r="B61" s="2" t="s">
        <v>324</v>
      </c>
      <c r="C61">
        <v>630</v>
      </c>
      <c r="D61" s="2" t="s">
        <v>324</v>
      </c>
      <c r="E61" s="3">
        <v>1100</v>
      </c>
      <c r="F61" s="1">
        <v>0.43</v>
      </c>
      <c r="I61" t="e">
        <f t="shared" si="18"/>
        <v>#VALUE!</v>
      </c>
      <c r="J61" s="3">
        <f t="shared" si="10"/>
        <v>470</v>
      </c>
      <c r="K61" t="e">
        <f t="shared" si="11"/>
        <v>#VALUE!</v>
      </c>
      <c r="L61" s="4">
        <f t="shared" si="12"/>
        <v>0.57272727272727275</v>
      </c>
      <c r="M61" t="str">
        <f t="shared" si="13"/>
        <v>High Discount</v>
      </c>
      <c r="O61" s="7">
        <f t="shared" si="14"/>
        <v>0.55029667594595211</v>
      </c>
      <c r="P61">
        <f t="shared" si="15"/>
        <v>2200</v>
      </c>
      <c r="Q61">
        <f t="shared" si="16"/>
        <v>38</v>
      </c>
      <c r="R61">
        <f t="shared" si="17"/>
        <v>2.9214215814440961E-2</v>
      </c>
    </row>
    <row r="62" spans="1:18" x14ac:dyDescent="0.2">
      <c r="A62" t="s">
        <v>224</v>
      </c>
      <c r="B62" s="2" t="s">
        <v>324</v>
      </c>
      <c r="C62">
        <v>509</v>
      </c>
      <c r="D62" s="2" t="s">
        <v>324</v>
      </c>
      <c r="E62">
        <v>899</v>
      </c>
      <c r="F62" s="1">
        <v>0.43</v>
      </c>
      <c r="G62">
        <v>-5</v>
      </c>
      <c r="H62" t="s">
        <v>189</v>
      </c>
      <c r="I62">
        <f t="shared" si="18"/>
        <v>3</v>
      </c>
      <c r="J62" s="3">
        <f t="shared" si="10"/>
        <v>390</v>
      </c>
      <c r="K62" t="str">
        <f t="shared" si="11"/>
        <v>Average</v>
      </c>
      <c r="L62" s="4">
        <f t="shared" si="12"/>
        <v>0.56618464961067849</v>
      </c>
      <c r="M62" t="str">
        <f t="shared" si="13"/>
        <v>High Discount</v>
      </c>
      <c r="O62" s="7">
        <f t="shared" si="14"/>
        <v>0.54595223929721548</v>
      </c>
      <c r="P62">
        <f t="shared" si="15"/>
        <v>2200</v>
      </c>
      <c r="Q62">
        <f t="shared" si="16"/>
        <v>38</v>
      </c>
      <c r="R62">
        <f t="shared" si="17"/>
        <v>2.9214215814440961E-2</v>
      </c>
    </row>
    <row r="63" spans="1:18" x14ac:dyDescent="0.2">
      <c r="A63" t="s">
        <v>170</v>
      </c>
      <c r="B63" s="2" t="s">
        <v>324</v>
      </c>
      <c r="C63">
        <v>499</v>
      </c>
      <c r="D63" s="2" t="s">
        <v>324</v>
      </c>
      <c r="E63">
        <v>900</v>
      </c>
      <c r="F63" s="1">
        <v>0.45</v>
      </c>
      <c r="I63" t="e">
        <f t="shared" si="18"/>
        <v>#VALUE!</v>
      </c>
      <c r="J63" s="3">
        <f t="shared" si="10"/>
        <v>401</v>
      </c>
      <c r="K63" t="e">
        <f t="shared" si="11"/>
        <v>#VALUE!</v>
      </c>
      <c r="L63" s="4">
        <f t="shared" si="12"/>
        <v>0.55444444444444441</v>
      </c>
      <c r="M63" t="str">
        <f t="shared" si="13"/>
        <v>High Discount</v>
      </c>
      <c r="O63" s="7">
        <f t="shared" si="14"/>
        <v>0.54230209304417709</v>
      </c>
      <c r="P63">
        <f t="shared" si="15"/>
        <v>2200</v>
      </c>
      <c r="Q63">
        <f t="shared" si="16"/>
        <v>38</v>
      </c>
      <c r="R63">
        <f t="shared" si="17"/>
        <v>1.194828534846531E-3</v>
      </c>
    </row>
    <row r="64" spans="1:18" x14ac:dyDescent="0.2">
      <c r="A64" t="s">
        <v>38</v>
      </c>
      <c r="B64" s="2" t="s">
        <v>324</v>
      </c>
      <c r="C64" s="3">
        <v>1600</v>
      </c>
      <c r="D64" s="2" t="s">
        <v>324</v>
      </c>
      <c r="E64" s="3">
        <v>2929</v>
      </c>
      <c r="F64" s="1">
        <v>0.45</v>
      </c>
      <c r="G64">
        <v>-5</v>
      </c>
      <c r="H64" t="s">
        <v>41</v>
      </c>
      <c r="I64">
        <f t="shared" si="18"/>
        <v>3.8</v>
      </c>
      <c r="J64" s="3">
        <f t="shared" si="10"/>
        <v>1329</v>
      </c>
      <c r="K64" t="str">
        <f t="shared" si="11"/>
        <v>Average</v>
      </c>
      <c r="L64" s="4">
        <f t="shared" si="12"/>
        <v>0.54626152270399453</v>
      </c>
      <c r="M64" t="str">
        <f t="shared" si="13"/>
        <v>High Discount</v>
      </c>
      <c r="O64" s="7">
        <f t="shared" si="14"/>
        <v>0.53980676943774242</v>
      </c>
      <c r="P64">
        <f t="shared" si="15"/>
        <v>2200</v>
      </c>
      <c r="Q64">
        <f t="shared" si="16"/>
        <v>38</v>
      </c>
      <c r="R64">
        <f t="shared" si="17"/>
        <v>1.194828534846531E-3</v>
      </c>
    </row>
    <row r="65" spans="1:18" x14ac:dyDescent="0.2">
      <c r="A65" t="s">
        <v>206</v>
      </c>
      <c r="B65" s="2" t="s">
        <v>324</v>
      </c>
      <c r="C65" s="3">
        <v>990</v>
      </c>
      <c r="D65" s="2" t="s">
        <v>324</v>
      </c>
      <c r="E65" s="3">
        <v>1814</v>
      </c>
      <c r="F65" s="1">
        <v>0.45</v>
      </c>
      <c r="G65">
        <v>-6</v>
      </c>
      <c r="H65" t="s">
        <v>208</v>
      </c>
      <c r="I65">
        <f t="shared" si="18"/>
        <v>2.2000000000000002</v>
      </c>
      <c r="J65" s="3">
        <f t="shared" si="10"/>
        <v>824</v>
      </c>
      <c r="K65" t="str">
        <f t="shared" si="11"/>
        <v>Poor</v>
      </c>
      <c r="L65" s="4">
        <f t="shared" si="12"/>
        <v>0.54575523704520401</v>
      </c>
      <c r="M65" t="str">
        <f t="shared" si="13"/>
        <v>High Discount</v>
      </c>
      <c r="O65" s="7">
        <f t="shared" si="14"/>
        <v>0.5379037986003814</v>
      </c>
      <c r="P65">
        <f t="shared" si="15"/>
        <v>2200</v>
      </c>
      <c r="Q65">
        <f t="shared" si="16"/>
        <v>38</v>
      </c>
      <c r="R65">
        <f t="shared" si="17"/>
        <v>-2.1736117907198572E-2</v>
      </c>
    </row>
    <row r="66" spans="1:18" x14ac:dyDescent="0.2">
      <c r="A66" t="s">
        <v>215</v>
      </c>
      <c r="B66" s="2" t="s">
        <v>324</v>
      </c>
      <c r="C66">
        <v>382</v>
      </c>
      <c r="D66" s="2" t="s">
        <v>324</v>
      </c>
      <c r="E66">
        <v>700</v>
      </c>
      <c r="F66" s="1">
        <v>0.45</v>
      </c>
      <c r="G66">
        <v>-17</v>
      </c>
      <c r="H66" t="s">
        <v>217</v>
      </c>
      <c r="I66">
        <f t="shared" si="18"/>
        <v>2.6</v>
      </c>
      <c r="J66" s="3">
        <f t="shared" ref="J66:J97" si="19">E66-C66</f>
        <v>318</v>
      </c>
      <c r="K66" t="str">
        <f t="shared" ref="K66:K97" si="20">IF(I66&lt;3,"Poor",IF(I66&lt;4.5,"Average","Excellent"))</f>
        <v>Poor</v>
      </c>
      <c r="L66" s="4">
        <f t="shared" ref="L66:L97" si="21">C66/E66</f>
        <v>0.54571428571428571</v>
      </c>
      <c r="M66" t="str">
        <f t="shared" ref="M66:M97" si="22">IF(L66&lt;20%,"Low Discount",IF(L66&lt;=40%,"Medium Discount","High Discount"))</f>
        <v>High Discount</v>
      </c>
      <c r="O66" s="7">
        <f t="shared" ref="O66:O97" si="23">AVERAGE(L66:L74)</f>
        <v>0.53594488337313662</v>
      </c>
      <c r="P66">
        <f t="shared" ref="P66:P97" si="24">MAX(C66:C177)</f>
        <v>2200</v>
      </c>
      <c r="Q66">
        <f t="shared" ref="Q66:Q97" si="25">MIN(C66:C177)</f>
        <v>38</v>
      </c>
      <c r="R66">
        <f t="shared" ref="R66:R97" si="26">CORREL(L66:L177,G66:G177)</f>
        <v>-4.4309256527338005E-2</v>
      </c>
    </row>
    <row r="67" spans="1:18" x14ac:dyDescent="0.2">
      <c r="A67" t="s">
        <v>60</v>
      </c>
      <c r="B67" s="2" t="s">
        <v>324</v>
      </c>
      <c r="C67" s="3">
        <v>195</v>
      </c>
      <c r="D67" s="2" t="s">
        <v>324</v>
      </c>
      <c r="E67" s="3">
        <v>360</v>
      </c>
      <c r="F67" s="1">
        <v>0.46</v>
      </c>
      <c r="G67">
        <v>-2</v>
      </c>
      <c r="H67" t="s">
        <v>59</v>
      </c>
      <c r="I67">
        <f t="shared" si="18"/>
        <v>5</v>
      </c>
      <c r="J67" s="3">
        <f t="shared" si="19"/>
        <v>165</v>
      </c>
      <c r="K67" t="str">
        <f t="shared" si="20"/>
        <v>Excellent</v>
      </c>
      <c r="L67" s="4">
        <f t="shared" si="21"/>
        <v>0.54166666666666663</v>
      </c>
      <c r="M67" t="str">
        <f t="shared" si="22"/>
        <v>High Discount</v>
      </c>
      <c r="O67" s="7">
        <f t="shared" si="23"/>
        <v>0.53392413246349668</v>
      </c>
      <c r="P67">
        <f t="shared" si="24"/>
        <v>2200</v>
      </c>
      <c r="Q67">
        <f t="shared" si="25"/>
        <v>38</v>
      </c>
      <c r="R67">
        <f t="shared" si="26"/>
        <v>-1.9804132778188079E-2</v>
      </c>
    </row>
    <row r="68" spans="1:18" x14ac:dyDescent="0.2">
      <c r="A68" t="s">
        <v>243</v>
      </c>
      <c r="B68" s="2" t="s">
        <v>324</v>
      </c>
      <c r="C68" s="3">
        <v>1189</v>
      </c>
      <c r="D68" s="2" t="s">
        <v>324</v>
      </c>
      <c r="E68" s="3">
        <v>2199</v>
      </c>
      <c r="F68" s="1">
        <v>0.46</v>
      </c>
      <c r="G68">
        <v>-1</v>
      </c>
      <c r="H68" t="s">
        <v>189</v>
      </c>
      <c r="I68">
        <f t="shared" si="18"/>
        <v>3</v>
      </c>
      <c r="J68" s="3">
        <f t="shared" si="19"/>
        <v>1010</v>
      </c>
      <c r="K68" t="str">
        <f t="shared" si="20"/>
        <v>Average</v>
      </c>
      <c r="L68" s="4">
        <f t="shared" si="21"/>
        <v>0.540700318326512</v>
      </c>
      <c r="M68" t="str">
        <f t="shared" si="22"/>
        <v>High Discount</v>
      </c>
      <c r="O68" s="7">
        <f t="shared" si="23"/>
        <v>0.53212062212584987</v>
      </c>
      <c r="P68">
        <f t="shared" si="24"/>
        <v>2200</v>
      </c>
      <c r="Q68">
        <f t="shared" si="25"/>
        <v>38</v>
      </c>
      <c r="R68">
        <f t="shared" si="26"/>
        <v>-6.4100674842884606E-2</v>
      </c>
    </row>
    <row r="69" spans="1:18" x14ac:dyDescent="0.2">
      <c r="A69" t="s">
        <v>99</v>
      </c>
      <c r="B69" s="2" t="s">
        <v>324</v>
      </c>
      <c r="C69" s="3">
        <v>2200</v>
      </c>
      <c r="D69" s="2" t="s">
        <v>324</v>
      </c>
      <c r="E69" s="3">
        <v>4080</v>
      </c>
      <c r="F69" s="1">
        <v>0.46</v>
      </c>
      <c r="I69" t="e">
        <f t="shared" si="18"/>
        <v>#VALUE!</v>
      </c>
      <c r="J69" s="3">
        <f t="shared" si="19"/>
        <v>1880</v>
      </c>
      <c r="K69" t="e">
        <f t="shared" si="20"/>
        <v>#VALUE!</v>
      </c>
      <c r="L69" s="4">
        <f t="shared" si="21"/>
        <v>0.53921568627450978</v>
      </c>
      <c r="M69" t="str">
        <f t="shared" si="22"/>
        <v>High Discount</v>
      </c>
      <c r="O69" s="7">
        <f t="shared" si="23"/>
        <v>0.53037614231179309</v>
      </c>
      <c r="P69">
        <f t="shared" si="24"/>
        <v>2200</v>
      </c>
      <c r="Q69">
        <f t="shared" si="25"/>
        <v>38</v>
      </c>
      <c r="R69">
        <f t="shared" si="26"/>
        <v>-0.12401500070430195</v>
      </c>
    </row>
    <row r="70" spans="1:18" x14ac:dyDescent="0.2">
      <c r="A70" t="s">
        <v>227</v>
      </c>
      <c r="B70" s="2" t="s">
        <v>324</v>
      </c>
      <c r="C70" s="3">
        <v>968</v>
      </c>
      <c r="D70" s="2" t="s">
        <v>324</v>
      </c>
      <c r="E70" s="3">
        <v>1814</v>
      </c>
      <c r="F70" s="1">
        <v>0.47</v>
      </c>
      <c r="G70">
        <v>-6</v>
      </c>
      <c r="H70" t="s">
        <v>208</v>
      </c>
      <c r="I70">
        <f t="shared" si="18"/>
        <v>2.2000000000000002</v>
      </c>
      <c r="J70" s="3">
        <f t="shared" si="19"/>
        <v>846</v>
      </c>
      <c r="K70" t="str">
        <f t="shared" si="20"/>
        <v>Poor</v>
      </c>
      <c r="L70" s="4">
        <f t="shared" si="21"/>
        <v>0.53362734288864389</v>
      </c>
      <c r="M70" t="str">
        <f t="shared" si="22"/>
        <v>High Discount</v>
      </c>
      <c r="O70" s="7">
        <f t="shared" si="23"/>
        <v>0.52840661843092585</v>
      </c>
      <c r="P70">
        <f t="shared" si="24"/>
        <v>2115</v>
      </c>
      <c r="Q70">
        <f t="shared" si="25"/>
        <v>38</v>
      </c>
      <c r="R70">
        <f t="shared" si="26"/>
        <v>-0.12401500070430195</v>
      </c>
    </row>
    <row r="71" spans="1:18" x14ac:dyDescent="0.2">
      <c r="A71" t="s">
        <v>47</v>
      </c>
      <c r="B71" s="2" t="s">
        <v>324</v>
      </c>
      <c r="C71">
        <v>552</v>
      </c>
      <c r="D71" s="2" t="s">
        <v>324</v>
      </c>
      <c r="E71" s="3">
        <v>1035</v>
      </c>
      <c r="F71" s="1">
        <v>0.47</v>
      </c>
      <c r="G71">
        <v>-12</v>
      </c>
      <c r="H71" t="s">
        <v>25</v>
      </c>
      <c r="I71">
        <f t="shared" si="18"/>
        <v>4.8</v>
      </c>
      <c r="J71" s="3">
        <f t="shared" si="19"/>
        <v>483</v>
      </c>
      <c r="K71" t="str">
        <f t="shared" si="20"/>
        <v>Excellent</v>
      </c>
      <c r="L71" s="4">
        <f t="shared" si="21"/>
        <v>0.53333333333333333</v>
      </c>
      <c r="M71" t="str">
        <f t="shared" si="22"/>
        <v>High Discount</v>
      </c>
      <c r="O71" s="7">
        <f t="shared" si="23"/>
        <v>0.5269454186708985</v>
      </c>
      <c r="P71">
        <f t="shared" si="24"/>
        <v>2115</v>
      </c>
      <c r="Q71">
        <f t="shared" si="25"/>
        <v>38</v>
      </c>
      <c r="R71">
        <f t="shared" si="26"/>
        <v>-0.16092045860979728</v>
      </c>
    </row>
    <row r="72" spans="1:18" x14ac:dyDescent="0.2">
      <c r="A72" t="s">
        <v>232</v>
      </c>
      <c r="B72" s="2" t="s">
        <v>324</v>
      </c>
      <c r="C72">
        <v>790</v>
      </c>
      <c r="D72" s="2" t="s">
        <v>324</v>
      </c>
      <c r="E72" s="3">
        <v>1485</v>
      </c>
      <c r="F72" s="1">
        <v>0.47</v>
      </c>
      <c r="I72" t="e">
        <f t="shared" si="18"/>
        <v>#VALUE!</v>
      </c>
      <c r="J72" s="3">
        <f t="shared" si="19"/>
        <v>695</v>
      </c>
      <c r="K72" t="e">
        <f t="shared" si="20"/>
        <v>#VALUE!</v>
      </c>
      <c r="L72" s="4">
        <f t="shared" si="21"/>
        <v>0.53198653198653201</v>
      </c>
      <c r="M72" t="str">
        <f t="shared" si="22"/>
        <v>High Discount</v>
      </c>
      <c r="O72" s="7">
        <f t="shared" si="23"/>
        <v>0.52546393718941709</v>
      </c>
      <c r="P72">
        <f t="shared" si="24"/>
        <v>2115</v>
      </c>
      <c r="Q72">
        <f t="shared" si="25"/>
        <v>38</v>
      </c>
      <c r="R72">
        <f t="shared" si="26"/>
        <v>-0.17357675278530429</v>
      </c>
    </row>
    <row r="73" spans="1:18" x14ac:dyDescent="0.2">
      <c r="A73" t="s">
        <v>277</v>
      </c>
      <c r="B73" s="2" t="s">
        <v>324</v>
      </c>
      <c r="C73">
        <v>899</v>
      </c>
      <c r="D73" s="2" t="s">
        <v>324</v>
      </c>
      <c r="E73" s="3">
        <v>1699</v>
      </c>
      <c r="F73" s="1">
        <v>0.47</v>
      </c>
      <c r="I73" t="e">
        <f t="shared" si="18"/>
        <v>#VALUE!</v>
      </c>
      <c r="J73" s="3">
        <f t="shared" si="19"/>
        <v>800</v>
      </c>
      <c r="K73" t="e">
        <f t="shared" si="20"/>
        <v>#VALUE!</v>
      </c>
      <c r="L73" s="4">
        <f t="shared" si="21"/>
        <v>0.5291347851677457</v>
      </c>
      <c r="M73" t="str">
        <f t="shared" si="22"/>
        <v>High Discount</v>
      </c>
      <c r="O73" s="7">
        <f t="shared" si="23"/>
        <v>0.52314444598103693</v>
      </c>
      <c r="P73">
        <f t="shared" si="24"/>
        <v>2115</v>
      </c>
      <c r="Q73">
        <f t="shared" si="25"/>
        <v>38</v>
      </c>
      <c r="R73">
        <f t="shared" si="26"/>
        <v>-0.17357675278530429</v>
      </c>
    </row>
    <row r="74" spans="1:18" x14ac:dyDescent="0.2">
      <c r="A74" t="s">
        <v>320</v>
      </c>
      <c r="B74" s="2" t="s">
        <v>324</v>
      </c>
      <c r="C74">
        <v>169</v>
      </c>
      <c r="D74" s="2" t="s">
        <v>324</v>
      </c>
      <c r="E74">
        <v>320</v>
      </c>
      <c r="F74" s="1">
        <v>0.47</v>
      </c>
      <c r="I74" t="e">
        <f t="shared" si="18"/>
        <v>#VALUE!</v>
      </c>
      <c r="J74" s="3">
        <f t="shared" si="19"/>
        <v>151</v>
      </c>
      <c r="K74" t="e">
        <f t="shared" si="20"/>
        <v>#VALUE!</v>
      </c>
      <c r="L74" s="4">
        <f t="shared" si="21"/>
        <v>0.52812499999999996</v>
      </c>
      <c r="M74" t="str">
        <f t="shared" si="22"/>
        <v>High Discount</v>
      </c>
      <c r="O74" s="7">
        <f t="shared" si="23"/>
        <v>0.5210503660561342</v>
      </c>
      <c r="P74">
        <f t="shared" si="24"/>
        <v>2115</v>
      </c>
      <c r="Q74">
        <f t="shared" si="25"/>
        <v>38</v>
      </c>
      <c r="R74">
        <f t="shared" si="26"/>
        <v>-0.17357675278530429</v>
      </c>
    </row>
    <row r="75" spans="1:18" x14ac:dyDescent="0.2">
      <c r="A75" t="s">
        <v>10</v>
      </c>
      <c r="B75" s="2" t="s">
        <v>324</v>
      </c>
      <c r="C75">
        <v>527</v>
      </c>
      <c r="D75" s="2" t="s">
        <v>324</v>
      </c>
      <c r="E75">
        <v>999</v>
      </c>
      <c r="F75" s="1">
        <v>0.47</v>
      </c>
      <c r="G75">
        <v>-14</v>
      </c>
      <c r="H75" t="s">
        <v>13</v>
      </c>
      <c r="I75">
        <f t="shared" si="18"/>
        <v>4.0999999999999996</v>
      </c>
      <c r="J75" s="3">
        <f t="shared" si="19"/>
        <v>472</v>
      </c>
      <c r="K75" t="str">
        <f t="shared" si="20"/>
        <v>Average</v>
      </c>
      <c r="L75" s="4">
        <f t="shared" si="21"/>
        <v>0.52752752752752752</v>
      </c>
      <c r="M75" t="str">
        <f t="shared" si="22"/>
        <v>High Discount</v>
      </c>
      <c r="O75" s="7">
        <f t="shared" si="23"/>
        <v>0.51906337557403204</v>
      </c>
      <c r="P75">
        <f t="shared" si="24"/>
        <v>2115</v>
      </c>
      <c r="Q75">
        <f t="shared" si="25"/>
        <v>38</v>
      </c>
      <c r="R75">
        <f t="shared" si="26"/>
        <v>-0.17357675278530429</v>
      </c>
    </row>
    <row r="76" spans="1:18" x14ac:dyDescent="0.2">
      <c r="A76" t="s">
        <v>229</v>
      </c>
      <c r="B76" s="2" t="s">
        <v>324</v>
      </c>
      <c r="C76" s="3">
        <v>1570</v>
      </c>
      <c r="D76" s="2" t="s">
        <v>324</v>
      </c>
      <c r="E76" s="3">
        <v>2988</v>
      </c>
      <c r="F76" s="1">
        <v>0.47</v>
      </c>
      <c r="G76">
        <v>-7</v>
      </c>
      <c r="H76" t="s">
        <v>193</v>
      </c>
      <c r="I76">
        <f t="shared" si="18"/>
        <v>2.1</v>
      </c>
      <c r="J76" s="3">
        <f t="shared" si="19"/>
        <v>1418</v>
      </c>
      <c r="K76" t="str">
        <f t="shared" si="20"/>
        <v>Poor</v>
      </c>
      <c r="L76" s="4">
        <f t="shared" si="21"/>
        <v>0.5254350736278447</v>
      </c>
      <c r="M76" t="str">
        <f t="shared" si="22"/>
        <v>High Discount</v>
      </c>
      <c r="O76" s="7">
        <f t="shared" si="23"/>
        <v>0.51713854825237937</v>
      </c>
      <c r="P76">
        <f t="shared" si="24"/>
        <v>2115</v>
      </c>
      <c r="Q76">
        <f t="shared" si="25"/>
        <v>38</v>
      </c>
      <c r="R76">
        <f t="shared" si="26"/>
        <v>-0.17569792179968105</v>
      </c>
    </row>
    <row r="77" spans="1:18" x14ac:dyDescent="0.2">
      <c r="A77" t="s">
        <v>274</v>
      </c>
      <c r="B77" s="2" t="s">
        <v>324</v>
      </c>
      <c r="C77">
        <v>105</v>
      </c>
      <c r="D77" s="2" t="s">
        <v>324</v>
      </c>
      <c r="E77">
        <v>200</v>
      </c>
      <c r="F77" s="1">
        <v>0.48</v>
      </c>
      <c r="I77" t="e">
        <f t="shared" si="18"/>
        <v>#VALUE!</v>
      </c>
      <c r="J77" s="3">
        <f t="shared" si="19"/>
        <v>95</v>
      </c>
      <c r="K77" t="e">
        <f t="shared" si="20"/>
        <v>#VALUE!</v>
      </c>
      <c r="L77" s="4">
        <f t="shared" si="21"/>
        <v>0.52500000000000002</v>
      </c>
      <c r="M77" t="str">
        <f t="shared" si="22"/>
        <v>High Discount</v>
      </c>
      <c r="O77" s="7">
        <f t="shared" si="23"/>
        <v>0.51544621580846917</v>
      </c>
      <c r="P77">
        <f t="shared" si="24"/>
        <v>2115</v>
      </c>
      <c r="Q77">
        <f t="shared" si="25"/>
        <v>38</v>
      </c>
      <c r="R77">
        <f t="shared" si="26"/>
        <v>-0.21957771047948046</v>
      </c>
    </row>
    <row r="78" spans="1:18" x14ac:dyDescent="0.2">
      <c r="A78" t="s">
        <v>108</v>
      </c>
      <c r="B78" s="2" t="s">
        <v>324</v>
      </c>
      <c r="C78" s="3">
        <v>1820</v>
      </c>
      <c r="D78" s="2" t="s">
        <v>324</v>
      </c>
      <c r="E78" s="3">
        <v>3490</v>
      </c>
      <c r="F78" s="1">
        <v>0.48</v>
      </c>
      <c r="G78">
        <v>-9</v>
      </c>
      <c r="H78" t="s">
        <v>88</v>
      </c>
      <c r="I78">
        <f t="shared" ref="I78:I109" si="27">VALUE(LEFT(H78, FIND(" ", H78)-1))</f>
        <v>4.3</v>
      </c>
      <c r="J78" s="3">
        <f t="shared" si="19"/>
        <v>1670</v>
      </c>
      <c r="K78" t="str">
        <f t="shared" si="20"/>
        <v>Average</v>
      </c>
      <c r="L78" s="4">
        <f t="shared" si="21"/>
        <v>0.52148997134670483</v>
      </c>
      <c r="M78" t="str">
        <f t="shared" si="22"/>
        <v>High Discount</v>
      </c>
      <c r="O78" s="7">
        <f t="shared" si="23"/>
        <v>0.5137956522013839</v>
      </c>
      <c r="P78">
        <f t="shared" si="24"/>
        <v>2115</v>
      </c>
      <c r="Q78">
        <f t="shared" si="25"/>
        <v>38</v>
      </c>
      <c r="R78">
        <f t="shared" si="26"/>
        <v>-0.21957771047948046</v>
      </c>
    </row>
    <row r="79" spans="1:18" x14ac:dyDescent="0.2">
      <c r="A79" t="s">
        <v>173</v>
      </c>
      <c r="B79" s="2" t="s">
        <v>324</v>
      </c>
      <c r="C79">
        <v>699</v>
      </c>
      <c r="D79" s="2" t="s">
        <v>324</v>
      </c>
      <c r="E79" s="3">
        <v>1343</v>
      </c>
      <c r="F79" s="1">
        <v>0.48</v>
      </c>
      <c r="I79" t="e">
        <f t="shared" si="27"/>
        <v>#VALUE!</v>
      </c>
      <c r="J79" s="3">
        <f t="shared" si="19"/>
        <v>644</v>
      </c>
      <c r="K79" t="e">
        <f t="shared" si="20"/>
        <v>#VALUE!</v>
      </c>
      <c r="L79" s="4">
        <f t="shared" si="21"/>
        <v>0.52047654504839913</v>
      </c>
      <c r="M79" t="str">
        <f t="shared" si="22"/>
        <v>High Discount</v>
      </c>
      <c r="O79" s="7">
        <f t="shared" si="23"/>
        <v>0.51252934068529032</v>
      </c>
      <c r="P79">
        <f t="shared" si="24"/>
        <v>2115</v>
      </c>
      <c r="Q79">
        <f t="shared" si="25"/>
        <v>38</v>
      </c>
      <c r="R79">
        <f t="shared" si="26"/>
        <v>-0.2582668656715848</v>
      </c>
    </row>
    <row r="80" spans="1:18" x14ac:dyDescent="0.2">
      <c r="A80" t="s">
        <v>272</v>
      </c>
      <c r="B80" s="2" t="s">
        <v>324</v>
      </c>
      <c r="C80" s="3">
        <v>1300</v>
      </c>
      <c r="D80" s="2" t="s">
        <v>324</v>
      </c>
      <c r="E80" s="3">
        <v>2500</v>
      </c>
      <c r="F80" s="1">
        <v>0.48</v>
      </c>
      <c r="I80" t="e">
        <f t="shared" si="27"/>
        <v>#VALUE!</v>
      </c>
      <c r="J80" s="3">
        <f t="shared" si="19"/>
        <v>1200</v>
      </c>
      <c r="K80" t="e">
        <f t="shared" si="20"/>
        <v>#VALUE!</v>
      </c>
      <c r="L80" s="4">
        <f t="shared" si="21"/>
        <v>0.52</v>
      </c>
      <c r="M80" t="str">
        <f t="shared" si="22"/>
        <v>High Discount</v>
      </c>
      <c r="O80" s="7">
        <f t="shared" si="23"/>
        <v>0.5113704321078707</v>
      </c>
      <c r="P80">
        <f t="shared" si="24"/>
        <v>2115</v>
      </c>
      <c r="Q80">
        <f t="shared" si="25"/>
        <v>38</v>
      </c>
      <c r="R80">
        <f t="shared" si="26"/>
        <v>-0.2582668656715848</v>
      </c>
    </row>
    <row r="81" spans="1:18" x14ac:dyDescent="0.2">
      <c r="A81" t="s">
        <v>240</v>
      </c>
      <c r="B81" s="2" t="s">
        <v>324</v>
      </c>
      <c r="C81">
        <v>230</v>
      </c>
      <c r="D81" s="2" t="s">
        <v>324</v>
      </c>
      <c r="E81">
        <v>450</v>
      </c>
      <c r="F81" s="1">
        <v>0.49</v>
      </c>
      <c r="I81" t="e">
        <f t="shared" si="27"/>
        <v>#VALUE!</v>
      </c>
      <c r="J81" s="3">
        <f t="shared" si="19"/>
        <v>220</v>
      </c>
      <c r="K81" t="e">
        <f t="shared" si="20"/>
        <v>#VALUE!</v>
      </c>
      <c r="L81" s="4">
        <f t="shared" si="21"/>
        <v>0.51111111111111107</v>
      </c>
      <c r="M81" t="str">
        <f t="shared" si="22"/>
        <v>High Discount</v>
      </c>
      <c r="O81" s="7">
        <f t="shared" si="23"/>
        <v>0.51025344506290582</v>
      </c>
      <c r="P81">
        <f t="shared" si="24"/>
        <v>2115</v>
      </c>
      <c r="Q81">
        <f t="shared" si="25"/>
        <v>38</v>
      </c>
      <c r="R81">
        <f t="shared" si="26"/>
        <v>-0.2582668656715848</v>
      </c>
    </row>
    <row r="82" spans="1:18" x14ac:dyDescent="0.2">
      <c r="A82" t="s">
        <v>284</v>
      </c>
      <c r="B82" s="2" t="s">
        <v>324</v>
      </c>
      <c r="C82">
        <v>248</v>
      </c>
      <c r="D82" s="2" t="s">
        <v>324</v>
      </c>
      <c r="E82">
        <v>486</v>
      </c>
      <c r="F82" s="1">
        <v>0.49</v>
      </c>
      <c r="I82" t="e">
        <f t="shared" si="27"/>
        <v>#VALUE!</v>
      </c>
      <c r="J82" s="3">
        <f t="shared" si="19"/>
        <v>238</v>
      </c>
      <c r="K82" t="e">
        <f t="shared" si="20"/>
        <v>#VALUE!</v>
      </c>
      <c r="L82" s="4">
        <f t="shared" si="21"/>
        <v>0.51028806584362141</v>
      </c>
      <c r="M82" t="str">
        <f t="shared" si="22"/>
        <v>High Discount</v>
      </c>
      <c r="O82" s="7">
        <f t="shared" si="23"/>
        <v>0.51011841419870829</v>
      </c>
      <c r="P82">
        <f t="shared" si="24"/>
        <v>2115</v>
      </c>
      <c r="Q82">
        <f t="shared" si="25"/>
        <v>38</v>
      </c>
      <c r="R82">
        <f t="shared" si="26"/>
        <v>-0.2582668656715848</v>
      </c>
    </row>
    <row r="83" spans="1:18" x14ac:dyDescent="0.2">
      <c r="A83" t="s">
        <v>258</v>
      </c>
      <c r="B83" s="2" t="s">
        <v>324</v>
      </c>
      <c r="C83">
        <v>274</v>
      </c>
      <c r="D83" s="2" t="s">
        <v>324</v>
      </c>
      <c r="E83">
        <v>537</v>
      </c>
      <c r="F83" s="1">
        <v>0.49</v>
      </c>
      <c r="I83" t="e">
        <f t="shared" si="27"/>
        <v>#VALUE!</v>
      </c>
      <c r="J83" s="3">
        <f t="shared" si="19"/>
        <v>263</v>
      </c>
      <c r="K83" t="e">
        <f t="shared" si="20"/>
        <v>#VALUE!</v>
      </c>
      <c r="L83" s="4">
        <f t="shared" si="21"/>
        <v>0.51024208566108009</v>
      </c>
      <c r="M83" t="str">
        <f t="shared" si="22"/>
        <v>High Discount</v>
      </c>
      <c r="O83" s="7">
        <f t="shared" si="23"/>
        <v>0.51007435270987933</v>
      </c>
      <c r="P83">
        <f t="shared" si="24"/>
        <v>2115</v>
      </c>
      <c r="Q83">
        <f t="shared" si="25"/>
        <v>38</v>
      </c>
      <c r="R83">
        <f t="shared" si="26"/>
        <v>-0.2582668656715848</v>
      </c>
    </row>
    <row r="84" spans="1:18" x14ac:dyDescent="0.2">
      <c r="A84" t="s">
        <v>131</v>
      </c>
      <c r="B84" s="2" t="s">
        <v>324</v>
      </c>
      <c r="C84">
        <v>475</v>
      </c>
      <c r="D84" s="2" t="s">
        <v>324</v>
      </c>
      <c r="E84">
        <v>931</v>
      </c>
      <c r="F84" s="1">
        <v>0.49</v>
      </c>
      <c r="I84" t="e">
        <f t="shared" si="27"/>
        <v>#VALUE!</v>
      </c>
      <c r="J84" s="3">
        <f t="shared" si="19"/>
        <v>456</v>
      </c>
      <c r="K84" t="e">
        <f t="shared" si="20"/>
        <v>#VALUE!</v>
      </c>
      <c r="L84" s="4">
        <f t="shared" si="21"/>
        <v>0.51020408163265307</v>
      </c>
      <c r="M84" t="str">
        <f t="shared" si="22"/>
        <v>High Discount</v>
      </c>
      <c r="O84" s="7">
        <f t="shared" si="23"/>
        <v>0.51003394535341351</v>
      </c>
      <c r="P84">
        <f t="shared" si="24"/>
        <v>2115</v>
      </c>
      <c r="Q84">
        <f t="shared" si="25"/>
        <v>38</v>
      </c>
      <c r="R84">
        <f t="shared" si="26"/>
        <v>-0.2582668656715848</v>
      </c>
    </row>
    <row r="85" spans="1:18" x14ac:dyDescent="0.2">
      <c r="A85" t="s">
        <v>289</v>
      </c>
      <c r="B85" s="2" t="s">
        <v>324</v>
      </c>
      <c r="C85">
        <v>525</v>
      </c>
      <c r="D85" s="2" t="s">
        <v>324</v>
      </c>
      <c r="E85" s="3">
        <v>1029</v>
      </c>
      <c r="F85" s="1">
        <v>0.49</v>
      </c>
      <c r="I85" t="e">
        <f t="shared" si="27"/>
        <v>#VALUE!</v>
      </c>
      <c r="J85" s="3">
        <f t="shared" si="19"/>
        <v>504</v>
      </c>
      <c r="K85" t="e">
        <f t="shared" si="20"/>
        <v>#VALUE!</v>
      </c>
      <c r="L85" s="4">
        <f t="shared" si="21"/>
        <v>0.51020408163265307</v>
      </c>
      <c r="M85" t="str">
        <f t="shared" si="22"/>
        <v>High Discount</v>
      </c>
      <c r="O85" s="7">
        <f t="shared" si="23"/>
        <v>0.50998199635693831</v>
      </c>
      <c r="P85">
        <f t="shared" si="24"/>
        <v>2115</v>
      </c>
      <c r="Q85">
        <f t="shared" si="25"/>
        <v>38</v>
      </c>
      <c r="R85">
        <f t="shared" si="26"/>
        <v>-0.2582668656715848</v>
      </c>
    </row>
    <row r="86" spans="1:18" x14ac:dyDescent="0.2">
      <c r="A86" t="s">
        <v>154</v>
      </c>
      <c r="B86" s="2" t="s">
        <v>324</v>
      </c>
      <c r="C86">
        <v>176</v>
      </c>
      <c r="D86" s="2" t="s">
        <v>324</v>
      </c>
      <c r="E86">
        <v>345</v>
      </c>
      <c r="F86" s="1">
        <v>0.49</v>
      </c>
      <c r="I86" t="e">
        <f t="shared" si="27"/>
        <v>#VALUE!</v>
      </c>
      <c r="J86" s="3">
        <f t="shared" si="19"/>
        <v>169</v>
      </c>
      <c r="K86" t="e">
        <f t="shared" si="20"/>
        <v>#VALUE!</v>
      </c>
      <c r="L86" s="4">
        <f t="shared" si="21"/>
        <v>0.51014492753623186</v>
      </c>
      <c r="M86" t="str">
        <f t="shared" si="22"/>
        <v>High Discount</v>
      </c>
      <c r="O86" s="7">
        <f t="shared" si="23"/>
        <v>0.50969595450717031</v>
      </c>
      <c r="P86">
        <f t="shared" si="24"/>
        <v>2115</v>
      </c>
      <c r="Q86">
        <f t="shared" si="25"/>
        <v>38</v>
      </c>
      <c r="R86">
        <f t="shared" si="26"/>
        <v>-0.2582668656715848</v>
      </c>
    </row>
    <row r="87" spans="1:18" x14ac:dyDescent="0.2">
      <c r="A87" t="s">
        <v>175</v>
      </c>
      <c r="B87" s="2" t="s">
        <v>324</v>
      </c>
      <c r="C87">
        <v>657</v>
      </c>
      <c r="D87" s="2" t="s">
        <v>324</v>
      </c>
      <c r="E87" s="3">
        <v>1288</v>
      </c>
      <c r="F87" s="1">
        <v>0.49</v>
      </c>
      <c r="I87" t="e">
        <f t="shared" si="27"/>
        <v>#VALUE!</v>
      </c>
      <c r="J87" s="3">
        <f t="shared" si="19"/>
        <v>631</v>
      </c>
      <c r="K87" t="e">
        <f t="shared" si="20"/>
        <v>#VALUE!</v>
      </c>
      <c r="L87" s="4">
        <f t="shared" si="21"/>
        <v>0.5100931677018633</v>
      </c>
      <c r="M87" t="str">
        <f t="shared" si="22"/>
        <v>High Discount</v>
      </c>
      <c r="O87" s="7">
        <f t="shared" si="23"/>
        <v>0.50856874033647781</v>
      </c>
      <c r="P87">
        <f t="shared" si="24"/>
        <v>2115</v>
      </c>
      <c r="Q87">
        <f t="shared" si="25"/>
        <v>38</v>
      </c>
      <c r="R87">
        <f t="shared" si="26"/>
        <v>-0.2582668656715848</v>
      </c>
    </row>
    <row r="88" spans="1:18" x14ac:dyDescent="0.2">
      <c r="A88" t="s">
        <v>253</v>
      </c>
      <c r="B88" s="2" t="s">
        <v>324</v>
      </c>
      <c r="C88">
        <v>330</v>
      </c>
      <c r="D88" s="2" t="s">
        <v>324</v>
      </c>
      <c r="E88">
        <v>647</v>
      </c>
      <c r="F88" s="1">
        <v>0.49</v>
      </c>
      <c r="G88">
        <v>-1</v>
      </c>
      <c r="H88" t="s">
        <v>29</v>
      </c>
      <c r="I88">
        <f t="shared" si="27"/>
        <v>4</v>
      </c>
      <c r="J88" s="3">
        <f t="shared" si="19"/>
        <v>317</v>
      </c>
      <c r="K88" t="str">
        <f t="shared" si="20"/>
        <v>Average</v>
      </c>
      <c r="L88" s="4">
        <f t="shared" si="21"/>
        <v>0.51004636785162283</v>
      </c>
      <c r="M88" t="str">
        <f t="shared" si="22"/>
        <v>High Discount</v>
      </c>
      <c r="O88" s="7">
        <f t="shared" si="23"/>
        <v>0.50744727725849303</v>
      </c>
      <c r="P88">
        <f t="shared" si="24"/>
        <v>2115</v>
      </c>
      <c r="Q88">
        <f t="shared" si="25"/>
        <v>38</v>
      </c>
      <c r="R88">
        <f t="shared" si="26"/>
        <v>-0.2582668656715848</v>
      </c>
    </row>
    <row r="89" spans="1:18" x14ac:dyDescent="0.2">
      <c r="A89" t="s">
        <v>63</v>
      </c>
      <c r="B89" s="2" t="s">
        <v>324</v>
      </c>
      <c r="C89" s="3">
        <v>2025</v>
      </c>
      <c r="D89" s="2" t="s">
        <v>324</v>
      </c>
      <c r="E89" s="3">
        <v>3971</v>
      </c>
      <c r="F89" s="1">
        <v>0.49</v>
      </c>
      <c r="G89">
        <v>-3</v>
      </c>
      <c r="H89" t="s">
        <v>59</v>
      </c>
      <c r="I89">
        <f t="shared" si="27"/>
        <v>5</v>
      </c>
      <c r="J89" s="3">
        <f t="shared" si="19"/>
        <v>1946</v>
      </c>
      <c r="K89" t="str">
        <f t="shared" si="20"/>
        <v>Excellent</v>
      </c>
      <c r="L89" s="4">
        <f t="shared" si="21"/>
        <v>0.509947116595316</v>
      </c>
      <c r="M89" t="str">
        <f t="shared" si="22"/>
        <v>High Discount</v>
      </c>
      <c r="O89" s="7">
        <f t="shared" si="23"/>
        <v>0.50633101416386816</v>
      </c>
      <c r="P89">
        <f t="shared" si="24"/>
        <v>2115</v>
      </c>
      <c r="Q89">
        <f t="shared" si="25"/>
        <v>38</v>
      </c>
      <c r="R89">
        <f t="shared" si="26"/>
        <v>-0.32845550125500539</v>
      </c>
    </row>
    <row r="90" spans="1:18" x14ac:dyDescent="0.2">
      <c r="A90" t="s">
        <v>245</v>
      </c>
      <c r="B90" s="2" t="s">
        <v>324</v>
      </c>
      <c r="C90">
        <v>979</v>
      </c>
      <c r="D90" s="2" t="s">
        <v>324</v>
      </c>
      <c r="E90" s="3">
        <v>1920</v>
      </c>
      <c r="F90" s="1">
        <v>0.49</v>
      </c>
      <c r="G90">
        <v>-1</v>
      </c>
      <c r="H90" t="s">
        <v>59</v>
      </c>
      <c r="I90">
        <f t="shared" si="27"/>
        <v>5</v>
      </c>
      <c r="J90" s="3">
        <f t="shared" si="19"/>
        <v>941</v>
      </c>
      <c r="K90" t="str">
        <f t="shared" si="20"/>
        <v>Excellent</v>
      </c>
      <c r="L90" s="4">
        <f t="shared" si="21"/>
        <v>0.50989583333333333</v>
      </c>
      <c r="M90" t="str">
        <f t="shared" si="22"/>
        <v>High Discount</v>
      </c>
      <c r="O90" s="7">
        <f t="shared" si="23"/>
        <v>0.50522577898661092</v>
      </c>
      <c r="P90">
        <f t="shared" si="24"/>
        <v>2115</v>
      </c>
      <c r="Q90">
        <f t="shared" si="25"/>
        <v>38</v>
      </c>
      <c r="R90">
        <f t="shared" si="26"/>
        <v>-0.40784781746295673</v>
      </c>
    </row>
    <row r="91" spans="1:18" x14ac:dyDescent="0.2">
      <c r="A91" t="s">
        <v>175</v>
      </c>
      <c r="B91" s="2" t="s">
        <v>324</v>
      </c>
      <c r="C91">
        <v>799</v>
      </c>
      <c r="D91" s="2" t="s">
        <v>324</v>
      </c>
      <c r="E91" s="3">
        <v>1567</v>
      </c>
      <c r="F91" s="1">
        <v>0.49</v>
      </c>
      <c r="I91" t="e">
        <f t="shared" si="27"/>
        <v>#VALUE!</v>
      </c>
      <c r="J91" s="3">
        <f t="shared" si="19"/>
        <v>768</v>
      </c>
      <c r="K91" t="e">
        <f t="shared" si="20"/>
        <v>#VALUE!</v>
      </c>
      <c r="L91" s="4">
        <f t="shared" si="21"/>
        <v>0.50989151244416087</v>
      </c>
      <c r="M91" t="str">
        <f t="shared" si="22"/>
        <v>High Discount</v>
      </c>
      <c r="O91" s="7">
        <f t="shared" si="23"/>
        <v>0.50412624194957389</v>
      </c>
      <c r="P91">
        <f t="shared" si="24"/>
        <v>2115</v>
      </c>
      <c r="Q91">
        <f t="shared" si="25"/>
        <v>38</v>
      </c>
      <c r="R91">
        <f t="shared" si="26"/>
        <v>-0.53240545264822692</v>
      </c>
    </row>
    <row r="92" spans="1:18" x14ac:dyDescent="0.2">
      <c r="A92" t="s">
        <v>148</v>
      </c>
      <c r="B92" s="2" t="s">
        <v>324</v>
      </c>
      <c r="C92">
        <v>671</v>
      </c>
      <c r="D92" s="2" t="s">
        <v>324</v>
      </c>
      <c r="E92" s="3">
        <v>1316</v>
      </c>
      <c r="F92" s="1">
        <v>0.49</v>
      </c>
      <c r="I92" t="e">
        <f t="shared" si="27"/>
        <v>#VALUE!</v>
      </c>
      <c r="J92" s="3">
        <f t="shared" si="19"/>
        <v>645</v>
      </c>
      <c r="K92" t="e">
        <f t="shared" si="20"/>
        <v>#VALUE!</v>
      </c>
      <c r="L92" s="4">
        <f t="shared" si="21"/>
        <v>0.50987841945288759</v>
      </c>
      <c r="M92" t="str">
        <f t="shared" si="22"/>
        <v>High Discount</v>
      </c>
      <c r="O92" s="7">
        <f t="shared" si="23"/>
        <v>0.50297162945577822</v>
      </c>
      <c r="P92">
        <f t="shared" si="24"/>
        <v>2115</v>
      </c>
      <c r="Q92">
        <f t="shared" si="25"/>
        <v>38</v>
      </c>
      <c r="R92">
        <f t="shared" si="26"/>
        <v>-0.53240545264822692</v>
      </c>
    </row>
    <row r="93" spans="1:18" x14ac:dyDescent="0.2">
      <c r="A93" t="s">
        <v>194</v>
      </c>
      <c r="B93" s="2" t="s">
        <v>324</v>
      </c>
      <c r="C93">
        <v>445</v>
      </c>
      <c r="D93" s="2" t="s">
        <v>324</v>
      </c>
      <c r="E93">
        <v>873</v>
      </c>
      <c r="F93" s="1">
        <v>0.49</v>
      </c>
      <c r="G93">
        <v>-69</v>
      </c>
      <c r="H93" t="s">
        <v>197</v>
      </c>
      <c r="I93">
        <f t="shared" si="27"/>
        <v>2.8</v>
      </c>
      <c r="J93" s="3">
        <f t="shared" si="19"/>
        <v>428</v>
      </c>
      <c r="K93" t="str">
        <f t="shared" si="20"/>
        <v>Poor</v>
      </c>
      <c r="L93" s="4">
        <f t="shared" si="21"/>
        <v>0.50973654066437568</v>
      </c>
      <c r="M93" t="str">
        <f t="shared" si="22"/>
        <v>High Discount</v>
      </c>
      <c r="O93" s="7">
        <f t="shared" si="23"/>
        <v>0.50168884210916109</v>
      </c>
      <c r="P93">
        <f t="shared" si="24"/>
        <v>2115</v>
      </c>
      <c r="Q93">
        <f t="shared" si="25"/>
        <v>38</v>
      </c>
      <c r="R93">
        <f t="shared" si="26"/>
        <v>-0.53240545264822692</v>
      </c>
    </row>
    <row r="94" spans="1:18" x14ac:dyDescent="0.2">
      <c r="A94" t="s">
        <v>68</v>
      </c>
      <c r="B94" s="2" t="s">
        <v>324</v>
      </c>
      <c r="C94">
        <v>998</v>
      </c>
      <c r="D94" s="2" t="s">
        <v>324</v>
      </c>
      <c r="E94" s="3">
        <v>1966</v>
      </c>
      <c r="F94" s="1">
        <v>0.49</v>
      </c>
      <c r="G94">
        <v>-44</v>
      </c>
      <c r="H94" t="s">
        <v>17</v>
      </c>
      <c r="I94">
        <f t="shared" si="27"/>
        <v>4.5999999999999996</v>
      </c>
      <c r="J94" s="3">
        <f t="shared" si="19"/>
        <v>968</v>
      </c>
      <c r="K94" t="str">
        <f t="shared" si="20"/>
        <v>Excellent</v>
      </c>
      <c r="L94" s="4">
        <f t="shared" si="21"/>
        <v>0.50762970498474058</v>
      </c>
      <c r="M94" t="str">
        <f t="shared" si="22"/>
        <v>High Discount</v>
      </c>
      <c r="O94" s="7">
        <f t="shared" si="23"/>
        <v>0.49898257280857083</v>
      </c>
      <c r="P94">
        <f t="shared" si="24"/>
        <v>2115</v>
      </c>
      <c r="Q94">
        <f t="shared" si="25"/>
        <v>38</v>
      </c>
      <c r="R94">
        <f t="shared" si="26"/>
        <v>-0.33221205232380052</v>
      </c>
    </row>
    <row r="95" spans="1:18" x14ac:dyDescent="0.2">
      <c r="A95" t="s">
        <v>318</v>
      </c>
      <c r="B95" s="2" t="s">
        <v>324</v>
      </c>
      <c r="C95" s="3">
        <v>450</v>
      </c>
      <c r="D95" s="2" t="s">
        <v>324</v>
      </c>
      <c r="E95" s="3">
        <v>900</v>
      </c>
      <c r="F95" s="1">
        <v>0.5</v>
      </c>
      <c r="G95">
        <v>-1</v>
      </c>
      <c r="H95" t="s">
        <v>319</v>
      </c>
      <c r="I95">
        <f t="shared" si="27"/>
        <v>2</v>
      </c>
      <c r="J95" s="3">
        <f t="shared" si="19"/>
        <v>450</v>
      </c>
      <c r="K95" t="str">
        <f t="shared" si="20"/>
        <v>Poor</v>
      </c>
      <c r="L95" s="4">
        <f t="shared" si="21"/>
        <v>0.5</v>
      </c>
      <c r="M95" t="str">
        <f t="shared" si="22"/>
        <v>High Discount</v>
      </c>
      <c r="O95" s="7">
        <f t="shared" si="23"/>
        <v>0.49638962711218615</v>
      </c>
      <c r="P95">
        <f t="shared" si="24"/>
        <v>2115</v>
      </c>
      <c r="Q95">
        <f t="shared" si="25"/>
        <v>38</v>
      </c>
      <c r="R95">
        <f t="shared" si="26"/>
        <v>0.3580861607867068</v>
      </c>
    </row>
    <row r="96" spans="1:18" x14ac:dyDescent="0.2">
      <c r="A96" t="s">
        <v>209</v>
      </c>
      <c r="B96" s="2" t="s">
        <v>324</v>
      </c>
      <c r="C96" s="3">
        <v>1000</v>
      </c>
      <c r="D96" s="2" t="s">
        <v>324</v>
      </c>
      <c r="E96" s="3">
        <v>2000</v>
      </c>
      <c r="F96" s="1">
        <v>0.5</v>
      </c>
      <c r="G96">
        <v>-7</v>
      </c>
      <c r="H96" t="s">
        <v>211</v>
      </c>
      <c r="I96">
        <f t="shared" si="27"/>
        <v>2.2999999999999998</v>
      </c>
      <c r="J96" s="3">
        <f t="shared" si="19"/>
        <v>1000</v>
      </c>
      <c r="K96" t="str">
        <f t="shared" si="20"/>
        <v>Poor</v>
      </c>
      <c r="L96" s="4">
        <f t="shared" si="21"/>
        <v>0.5</v>
      </c>
      <c r="M96" t="str">
        <f t="shared" si="22"/>
        <v>High Discount</v>
      </c>
      <c r="O96" s="7">
        <f t="shared" si="23"/>
        <v>0.49393864672002924</v>
      </c>
      <c r="P96">
        <f t="shared" si="24"/>
        <v>2115</v>
      </c>
      <c r="Q96">
        <f t="shared" si="25"/>
        <v>38</v>
      </c>
      <c r="R96">
        <f t="shared" si="26"/>
        <v>0.17675728298723531</v>
      </c>
    </row>
    <row r="97" spans="1:18" x14ac:dyDescent="0.2">
      <c r="A97" t="s">
        <v>134</v>
      </c>
      <c r="B97" s="2" t="s">
        <v>324</v>
      </c>
      <c r="C97">
        <v>238</v>
      </c>
      <c r="D97" s="2" t="s">
        <v>324</v>
      </c>
      <c r="E97">
        <v>476</v>
      </c>
      <c r="F97" s="1">
        <v>0.5</v>
      </c>
      <c r="I97" t="e">
        <f t="shared" si="27"/>
        <v>#VALUE!</v>
      </c>
      <c r="J97" s="3">
        <f t="shared" si="19"/>
        <v>238</v>
      </c>
      <c r="K97" t="e">
        <f t="shared" si="20"/>
        <v>#VALUE!</v>
      </c>
      <c r="L97" s="4">
        <f t="shared" si="21"/>
        <v>0.5</v>
      </c>
      <c r="M97" t="str">
        <f t="shared" si="22"/>
        <v>High Discount</v>
      </c>
      <c r="O97" s="7">
        <f t="shared" si="23"/>
        <v>0.49116086894225153</v>
      </c>
      <c r="P97">
        <f t="shared" si="24"/>
        <v>2115</v>
      </c>
      <c r="Q97">
        <f t="shared" si="25"/>
        <v>38</v>
      </c>
      <c r="R97">
        <f t="shared" si="26"/>
        <v>0.14652540898788771</v>
      </c>
    </row>
    <row r="98" spans="1:18" x14ac:dyDescent="0.2">
      <c r="A98" t="s">
        <v>269</v>
      </c>
      <c r="B98" s="2" t="s">
        <v>324</v>
      </c>
      <c r="C98">
        <v>850</v>
      </c>
      <c r="D98" s="2" t="s">
        <v>324</v>
      </c>
      <c r="E98" s="3">
        <v>1700</v>
      </c>
      <c r="F98" s="1">
        <v>0.5</v>
      </c>
      <c r="I98" t="e">
        <f t="shared" si="27"/>
        <v>#VALUE!</v>
      </c>
      <c r="J98" s="3">
        <f t="shared" ref="J98:J113" si="28">E98-C98</f>
        <v>850</v>
      </c>
      <c r="K98" t="e">
        <f t="shared" ref="K98:K113" si="29">IF(I98&lt;3,"Poor",IF(I98&lt;4.5,"Average","Excellent"))</f>
        <v>#VALUE!</v>
      </c>
      <c r="L98" s="4">
        <f t="shared" ref="L98:L113" si="30">C98/E98</f>
        <v>0.5</v>
      </c>
      <c r="M98" t="str">
        <f t="shared" ref="M98:M113" si="31">IF(L98&lt;20%,"Low Discount",IF(L98&lt;=40%,"Medium Discount","High Discount"))</f>
        <v>High Discount</v>
      </c>
      <c r="O98" s="7">
        <f t="shared" ref="O98:O113" si="32">AVERAGE(L98:L106)</f>
        <v>0.4883830911644737</v>
      </c>
      <c r="P98">
        <f t="shared" ref="P98:P113" si="33">MAX(C98:C209)</f>
        <v>2115</v>
      </c>
      <c r="Q98">
        <f t="shared" ref="Q98:Q113" si="34">MIN(C98:C209)</f>
        <v>38</v>
      </c>
      <c r="R98">
        <f t="shared" ref="R98:R113" si="35">CORREL(L98:L209,G98:G209)</f>
        <v>0.14652540898788771</v>
      </c>
    </row>
    <row r="99" spans="1:18" x14ac:dyDescent="0.2">
      <c r="A99" t="s">
        <v>278</v>
      </c>
      <c r="B99" s="2" t="s">
        <v>324</v>
      </c>
      <c r="C99" s="3">
        <v>1200</v>
      </c>
      <c r="D99" s="2" t="s">
        <v>324</v>
      </c>
      <c r="E99" s="3">
        <v>2400</v>
      </c>
      <c r="F99" s="1">
        <v>0.5</v>
      </c>
      <c r="I99" t="e">
        <f t="shared" si="27"/>
        <v>#VALUE!</v>
      </c>
      <c r="J99" s="3">
        <f t="shared" si="28"/>
        <v>1200</v>
      </c>
      <c r="K99" t="e">
        <f t="shared" si="29"/>
        <v>#VALUE!</v>
      </c>
      <c r="L99" s="4">
        <f t="shared" si="30"/>
        <v>0.5</v>
      </c>
      <c r="M99" t="str">
        <f t="shared" si="31"/>
        <v>High Discount</v>
      </c>
      <c r="O99" s="7">
        <f t="shared" si="32"/>
        <v>0.48443898478629027</v>
      </c>
      <c r="P99">
        <f t="shared" si="33"/>
        <v>2115</v>
      </c>
      <c r="Q99">
        <f t="shared" si="34"/>
        <v>38</v>
      </c>
      <c r="R99">
        <f t="shared" si="35"/>
        <v>0.14652540898788771</v>
      </c>
    </row>
    <row r="100" spans="1:18" x14ac:dyDescent="0.2">
      <c r="A100" t="s">
        <v>143</v>
      </c>
      <c r="B100" s="2" t="s">
        <v>324</v>
      </c>
      <c r="C100">
        <v>999</v>
      </c>
      <c r="D100" s="2" t="s">
        <v>324</v>
      </c>
      <c r="E100" s="3">
        <v>2000</v>
      </c>
      <c r="F100" s="1">
        <v>0.5</v>
      </c>
      <c r="I100" t="e">
        <f t="shared" si="27"/>
        <v>#VALUE!</v>
      </c>
      <c r="J100" s="3">
        <f t="shared" si="28"/>
        <v>1001</v>
      </c>
      <c r="K100" t="e">
        <f t="shared" si="29"/>
        <v>#VALUE!</v>
      </c>
      <c r="L100" s="4">
        <f t="shared" si="30"/>
        <v>0.4995</v>
      </c>
      <c r="M100" t="str">
        <f t="shared" si="31"/>
        <v>High Discount</v>
      </c>
      <c r="O100" s="7">
        <f t="shared" si="32"/>
        <v>0.47945133046530258</v>
      </c>
      <c r="P100">
        <f t="shared" si="33"/>
        <v>2115</v>
      </c>
      <c r="Q100">
        <f t="shared" si="34"/>
        <v>38</v>
      </c>
      <c r="R100">
        <f t="shared" si="35"/>
        <v>0.14652540898788771</v>
      </c>
    </row>
    <row r="101" spans="1:18" x14ac:dyDescent="0.2">
      <c r="A101" t="s">
        <v>157</v>
      </c>
      <c r="B101" s="2" t="s">
        <v>324</v>
      </c>
      <c r="C101">
        <v>299</v>
      </c>
      <c r="D101" s="2" t="s">
        <v>324</v>
      </c>
      <c r="E101">
        <v>600</v>
      </c>
      <c r="F101" s="1">
        <v>0.5</v>
      </c>
      <c r="I101" t="e">
        <f t="shared" si="27"/>
        <v>#VALUE!</v>
      </c>
      <c r="J101" s="3">
        <f t="shared" si="28"/>
        <v>301</v>
      </c>
      <c r="K101" t="e">
        <f t="shared" si="29"/>
        <v>#VALUE!</v>
      </c>
      <c r="L101" s="4">
        <f t="shared" si="30"/>
        <v>0.49833333333333335</v>
      </c>
      <c r="M101" t="str">
        <f t="shared" si="31"/>
        <v>High Discount</v>
      </c>
      <c r="O101" s="7">
        <f t="shared" si="32"/>
        <v>0.47450688602085811</v>
      </c>
      <c r="P101">
        <f t="shared" si="33"/>
        <v>2115</v>
      </c>
      <c r="Q101">
        <f t="shared" si="34"/>
        <v>38</v>
      </c>
      <c r="R101">
        <f t="shared" si="35"/>
        <v>0.14652540898788771</v>
      </c>
    </row>
    <row r="102" spans="1:18" x14ac:dyDescent="0.2">
      <c r="A102" t="s">
        <v>56</v>
      </c>
      <c r="B102" s="2" t="s">
        <v>324</v>
      </c>
      <c r="C102" s="3">
        <v>332</v>
      </c>
      <c r="D102" s="2" t="s">
        <v>324</v>
      </c>
      <c r="E102" s="3">
        <v>684</v>
      </c>
      <c r="F102" s="1">
        <v>0.51</v>
      </c>
      <c r="G102">
        <v>-2</v>
      </c>
      <c r="H102" t="s">
        <v>59</v>
      </c>
      <c r="I102">
        <f t="shared" si="27"/>
        <v>5</v>
      </c>
      <c r="J102" s="3">
        <f t="shared" si="28"/>
        <v>352</v>
      </c>
      <c r="K102" t="str">
        <f t="shared" si="29"/>
        <v>Excellent</v>
      </c>
      <c r="L102" s="4">
        <f t="shared" si="30"/>
        <v>0.4853801169590643</v>
      </c>
      <c r="M102" t="str">
        <f t="shared" si="31"/>
        <v>High Discount</v>
      </c>
      <c r="O102" s="7">
        <f t="shared" si="32"/>
        <v>0.46913651565048781</v>
      </c>
      <c r="P102">
        <f t="shared" si="33"/>
        <v>2115</v>
      </c>
      <c r="Q102">
        <f t="shared" si="34"/>
        <v>38</v>
      </c>
      <c r="R102">
        <f t="shared" si="35"/>
        <v>0.14652540898788771</v>
      </c>
    </row>
    <row r="103" spans="1:18" x14ac:dyDescent="0.2">
      <c r="A103" t="s">
        <v>102</v>
      </c>
      <c r="B103" s="2" t="s">
        <v>324</v>
      </c>
      <c r="C103">
        <v>185</v>
      </c>
      <c r="D103" s="2" t="s">
        <v>324</v>
      </c>
      <c r="E103">
        <v>382</v>
      </c>
      <c r="F103" s="1">
        <v>0.52</v>
      </c>
      <c r="G103">
        <v>-9</v>
      </c>
      <c r="H103" t="s">
        <v>88</v>
      </c>
      <c r="I103">
        <f t="shared" si="27"/>
        <v>4.3</v>
      </c>
      <c r="J103" s="3">
        <f t="shared" si="28"/>
        <v>197</v>
      </c>
      <c r="K103" t="str">
        <f t="shared" si="29"/>
        <v>Average</v>
      </c>
      <c r="L103" s="4">
        <f t="shared" si="30"/>
        <v>0.48429319371727747</v>
      </c>
      <c r="M103" t="str">
        <f t="shared" si="31"/>
        <v>High Discount</v>
      </c>
      <c r="O103" s="7">
        <f t="shared" si="32"/>
        <v>0.46468455821059174</v>
      </c>
      <c r="P103">
        <f t="shared" si="33"/>
        <v>2115</v>
      </c>
      <c r="Q103">
        <f t="shared" si="34"/>
        <v>38</v>
      </c>
      <c r="R103">
        <f t="shared" si="35"/>
        <v>-0.10849899253690788</v>
      </c>
    </row>
    <row r="104" spans="1:18" x14ac:dyDescent="0.2">
      <c r="A104" t="s">
        <v>198</v>
      </c>
      <c r="B104" s="2" t="s">
        <v>324</v>
      </c>
      <c r="C104">
        <v>325</v>
      </c>
      <c r="D104" s="2" t="s">
        <v>324</v>
      </c>
      <c r="E104">
        <v>680</v>
      </c>
      <c r="F104" s="1">
        <v>0.52</v>
      </c>
      <c r="G104">
        <v>-15</v>
      </c>
      <c r="H104" t="s">
        <v>201</v>
      </c>
      <c r="I104">
        <f t="shared" si="27"/>
        <v>2.7</v>
      </c>
      <c r="J104" s="3">
        <f t="shared" si="28"/>
        <v>355</v>
      </c>
      <c r="K104" t="str">
        <f t="shared" si="29"/>
        <v>Poor</v>
      </c>
      <c r="L104" s="4">
        <f t="shared" si="30"/>
        <v>0.47794117647058826</v>
      </c>
      <c r="M104" t="str">
        <f t="shared" si="31"/>
        <v>High Discount</v>
      </c>
      <c r="O104" s="7">
        <f t="shared" si="32"/>
        <v>0.45474545555770202</v>
      </c>
      <c r="P104">
        <f t="shared" si="33"/>
        <v>2115</v>
      </c>
      <c r="Q104">
        <f t="shared" si="34"/>
        <v>38</v>
      </c>
      <c r="R104">
        <f t="shared" si="35"/>
        <v>-0.1445737663764414</v>
      </c>
    </row>
    <row r="105" spans="1:18" x14ac:dyDescent="0.2">
      <c r="A105" t="s">
        <v>120</v>
      </c>
      <c r="B105" s="2" t="s">
        <v>324</v>
      </c>
      <c r="C105" s="3">
        <v>171</v>
      </c>
      <c r="D105" s="2" t="s">
        <v>324</v>
      </c>
      <c r="E105" s="3">
        <v>360</v>
      </c>
      <c r="F105" s="1">
        <v>0.53</v>
      </c>
      <c r="G105">
        <v>-2</v>
      </c>
      <c r="H105" t="s">
        <v>59</v>
      </c>
      <c r="I105">
        <f t="shared" si="27"/>
        <v>5</v>
      </c>
      <c r="J105" s="3">
        <f t="shared" si="28"/>
        <v>189</v>
      </c>
      <c r="K105" t="str">
        <f t="shared" si="29"/>
        <v>Excellent</v>
      </c>
      <c r="L105" s="4">
        <f t="shared" si="30"/>
        <v>0.47499999999999998</v>
      </c>
      <c r="M105" t="str">
        <f t="shared" si="31"/>
        <v>High Discount</v>
      </c>
      <c r="O105" s="7">
        <f t="shared" si="32"/>
        <v>0.44162480645417879</v>
      </c>
      <c r="P105">
        <f t="shared" si="33"/>
        <v>2115</v>
      </c>
      <c r="Q105">
        <f t="shared" si="34"/>
        <v>38</v>
      </c>
      <c r="R105">
        <f t="shared" si="35"/>
        <v>0.1701904058475773</v>
      </c>
    </row>
    <row r="106" spans="1:18" x14ac:dyDescent="0.2">
      <c r="A106" t="s">
        <v>71</v>
      </c>
      <c r="B106" s="2" t="s">
        <v>324</v>
      </c>
      <c r="C106">
        <v>38</v>
      </c>
      <c r="D106" s="2" t="s">
        <v>324</v>
      </c>
      <c r="E106">
        <v>80</v>
      </c>
      <c r="F106" s="1">
        <v>0.53</v>
      </c>
      <c r="G106">
        <v>-13</v>
      </c>
      <c r="H106" t="s">
        <v>74</v>
      </c>
      <c r="I106">
        <f t="shared" si="27"/>
        <v>3.3</v>
      </c>
      <c r="J106" s="3">
        <f t="shared" si="28"/>
        <v>42</v>
      </c>
      <c r="K106" t="str">
        <f t="shared" si="29"/>
        <v>Average</v>
      </c>
      <c r="L106" s="4">
        <f t="shared" si="30"/>
        <v>0.47499999999999998</v>
      </c>
      <c r="M106" t="str">
        <f t="shared" si="31"/>
        <v>High Discount</v>
      </c>
      <c r="O106" s="7">
        <f t="shared" si="32"/>
        <v>0.4374529072609511</v>
      </c>
      <c r="P106">
        <f t="shared" si="33"/>
        <v>2115</v>
      </c>
      <c r="Q106">
        <f t="shared" si="34"/>
        <v>38</v>
      </c>
      <c r="R106">
        <f t="shared" si="35"/>
        <v>-0.38373341377399628</v>
      </c>
    </row>
    <row r="107" spans="1:18" x14ac:dyDescent="0.2">
      <c r="A107" t="s">
        <v>186</v>
      </c>
      <c r="B107" s="2" t="s">
        <v>324</v>
      </c>
      <c r="C107">
        <v>458</v>
      </c>
      <c r="D107" s="2" t="s">
        <v>324</v>
      </c>
      <c r="E107">
        <v>986</v>
      </c>
      <c r="F107" s="1">
        <v>0.54</v>
      </c>
      <c r="G107">
        <v>-10</v>
      </c>
      <c r="H107" t="s">
        <v>189</v>
      </c>
      <c r="I107">
        <f t="shared" si="27"/>
        <v>3</v>
      </c>
      <c r="J107" s="3">
        <f t="shared" si="28"/>
        <v>528</v>
      </c>
      <c r="K107" t="str">
        <f t="shared" si="29"/>
        <v>Average</v>
      </c>
      <c r="L107" s="4">
        <f t="shared" si="30"/>
        <v>0.46450304259634889</v>
      </c>
      <c r="M107" t="str">
        <f t="shared" si="31"/>
        <v>High Discount</v>
      </c>
      <c r="O107" s="7">
        <f t="shared" si="32"/>
        <v>0.43208903686965838</v>
      </c>
      <c r="P107">
        <f t="shared" si="33"/>
        <v>2115</v>
      </c>
      <c r="Q107">
        <f t="shared" si="34"/>
        <v>199</v>
      </c>
      <c r="R107">
        <f t="shared" si="35"/>
        <v>0.15045058748315701</v>
      </c>
    </row>
    <row r="108" spans="1:18" x14ac:dyDescent="0.2">
      <c r="A108" t="s">
        <v>85</v>
      </c>
      <c r="B108" s="2" t="s">
        <v>324</v>
      </c>
      <c r="C108" s="3">
        <v>2048</v>
      </c>
      <c r="D108" s="2" t="s">
        <v>324</v>
      </c>
      <c r="E108" s="3">
        <v>4500</v>
      </c>
      <c r="F108" s="1">
        <v>0.54</v>
      </c>
      <c r="G108">
        <v>-7</v>
      </c>
      <c r="H108" t="s">
        <v>88</v>
      </c>
      <c r="I108">
        <f t="shared" si="27"/>
        <v>4.3</v>
      </c>
      <c r="J108" s="3">
        <f t="shared" si="28"/>
        <v>2452</v>
      </c>
      <c r="K108" t="str">
        <f t="shared" si="29"/>
        <v>Average</v>
      </c>
      <c r="L108" s="4">
        <f t="shared" si="30"/>
        <v>0.45511111111111113</v>
      </c>
      <c r="M108" t="str">
        <f t="shared" si="31"/>
        <v>High Discount</v>
      </c>
      <c r="O108" s="7">
        <f t="shared" si="32"/>
        <v>0.42668670258187663</v>
      </c>
      <c r="P108">
        <f t="shared" si="33"/>
        <v>2115</v>
      </c>
      <c r="Q108">
        <f t="shared" si="34"/>
        <v>199</v>
      </c>
      <c r="R108">
        <f t="shared" si="35"/>
        <v>0.96597867931929693</v>
      </c>
    </row>
    <row r="109" spans="1:18" x14ac:dyDescent="0.2">
      <c r="A109" t="s">
        <v>35</v>
      </c>
      <c r="B109" s="2" t="s">
        <v>324</v>
      </c>
      <c r="C109" s="3">
        <v>1274</v>
      </c>
      <c r="D109" s="2" t="s">
        <v>324</v>
      </c>
      <c r="E109" s="3">
        <v>2800</v>
      </c>
      <c r="F109" s="1">
        <v>0.55000000000000004</v>
      </c>
      <c r="G109">
        <v>-5</v>
      </c>
      <c r="H109" t="s">
        <v>25</v>
      </c>
      <c r="I109">
        <f t="shared" si="27"/>
        <v>4.8</v>
      </c>
      <c r="J109" s="3">
        <f t="shared" si="28"/>
        <v>1526</v>
      </c>
      <c r="K109" t="str">
        <f t="shared" si="29"/>
        <v>Excellent</v>
      </c>
      <c r="L109" s="4">
        <f t="shared" si="30"/>
        <v>0.45500000000000002</v>
      </c>
      <c r="M109" t="str">
        <f t="shared" si="31"/>
        <v>High Discount</v>
      </c>
      <c r="O109" s="7">
        <f t="shared" si="32"/>
        <v>0.42100182087602978</v>
      </c>
      <c r="P109">
        <f t="shared" si="33"/>
        <v>2115</v>
      </c>
      <c r="Q109">
        <f t="shared" si="34"/>
        <v>199</v>
      </c>
      <c r="R109">
        <f t="shared" si="35"/>
        <v>1</v>
      </c>
    </row>
    <row r="110" spans="1:18" x14ac:dyDescent="0.2">
      <c r="A110" t="s">
        <v>190</v>
      </c>
      <c r="B110" s="2" t="s">
        <v>324</v>
      </c>
      <c r="C110" s="3">
        <v>2115</v>
      </c>
      <c r="D110" s="2" t="s">
        <v>324</v>
      </c>
      <c r="E110" s="3">
        <v>4700</v>
      </c>
      <c r="F110" s="1">
        <v>0.55000000000000004</v>
      </c>
      <c r="G110">
        <v>-13</v>
      </c>
      <c r="H110" t="s">
        <v>193</v>
      </c>
      <c r="I110">
        <f t="shared" ref="I110:I113" si="36">VALUE(LEFT(H110, FIND(" ", H110)-1))</f>
        <v>2.1</v>
      </c>
      <c r="J110" s="3">
        <f t="shared" si="28"/>
        <v>2585</v>
      </c>
      <c r="K110" t="str">
        <f t="shared" si="29"/>
        <v>Poor</v>
      </c>
      <c r="L110" s="4">
        <f t="shared" si="30"/>
        <v>0.45</v>
      </c>
      <c r="M110" t="str">
        <f t="shared" si="31"/>
        <v>High Discount</v>
      </c>
      <c r="O110" s="7">
        <f t="shared" si="32"/>
        <v>0.41250227609503715</v>
      </c>
      <c r="P110">
        <f t="shared" si="33"/>
        <v>2115</v>
      </c>
      <c r="Q110">
        <f t="shared" si="34"/>
        <v>199</v>
      </c>
      <c r="R110" t="e">
        <f t="shared" si="35"/>
        <v>#DIV/0!</v>
      </c>
    </row>
    <row r="111" spans="1:18" x14ac:dyDescent="0.2">
      <c r="A111" t="s">
        <v>170</v>
      </c>
      <c r="B111" s="2" t="s">
        <v>324</v>
      </c>
      <c r="C111">
        <v>399</v>
      </c>
      <c r="D111" s="2" t="s">
        <v>324</v>
      </c>
      <c r="E111">
        <v>896</v>
      </c>
      <c r="F111" s="1">
        <v>0.55000000000000004</v>
      </c>
      <c r="I111" t="e">
        <f t="shared" si="36"/>
        <v>#VALUE!</v>
      </c>
      <c r="J111" s="3">
        <f t="shared" si="28"/>
        <v>497</v>
      </c>
      <c r="K111" t="e">
        <f t="shared" si="29"/>
        <v>#VALUE!</v>
      </c>
      <c r="L111" s="4">
        <f t="shared" si="30"/>
        <v>0.4453125</v>
      </c>
      <c r="M111" t="str">
        <f t="shared" si="31"/>
        <v>High Discount</v>
      </c>
      <c r="O111" s="7">
        <f t="shared" si="32"/>
        <v>0.40000303479338289</v>
      </c>
      <c r="P111">
        <f t="shared" si="33"/>
        <v>399</v>
      </c>
      <c r="Q111">
        <f t="shared" si="34"/>
        <v>199</v>
      </c>
      <c r="R111" t="e">
        <f t="shared" si="35"/>
        <v>#DIV/0!</v>
      </c>
    </row>
    <row r="112" spans="1:18" x14ac:dyDescent="0.2">
      <c r="A112" t="s">
        <v>154</v>
      </c>
      <c r="B112" s="2" t="s">
        <v>324</v>
      </c>
      <c r="C112">
        <v>199</v>
      </c>
      <c r="D112" s="2" t="s">
        <v>324</v>
      </c>
      <c r="E112">
        <v>504</v>
      </c>
      <c r="F112" s="1">
        <v>0.61</v>
      </c>
      <c r="I112" t="e">
        <f t="shared" si="36"/>
        <v>#VALUE!</v>
      </c>
      <c r="J112" s="3">
        <f t="shared" si="28"/>
        <v>305</v>
      </c>
      <c r="K112" t="e">
        <f t="shared" si="29"/>
        <v>#VALUE!</v>
      </c>
      <c r="L112" s="4">
        <f t="shared" si="30"/>
        <v>0.39484126984126983</v>
      </c>
      <c r="M112" t="str">
        <f t="shared" si="31"/>
        <v>Medium Discount</v>
      </c>
      <c r="O112" s="7">
        <f t="shared" si="32"/>
        <v>0.37734830219007431</v>
      </c>
      <c r="P112">
        <f t="shared" si="33"/>
        <v>199</v>
      </c>
      <c r="Q112">
        <f t="shared" si="34"/>
        <v>199</v>
      </c>
      <c r="R112" t="e">
        <f t="shared" si="35"/>
        <v>#DIV/0!</v>
      </c>
    </row>
    <row r="113" spans="1:18" x14ac:dyDescent="0.2">
      <c r="A113" t="s">
        <v>316</v>
      </c>
      <c r="B113" s="2" t="s">
        <v>324</v>
      </c>
      <c r="C113">
        <v>199</v>
      </c>
      <c r="D113" s="2" t="s">
        <v>324</v>
      </c>
      <c r="E113">
        <v>553</v>
      </c>
      <c r="F113" s="1">
        <v>0.64</v>
      </c>
      <c r="I113" t="e">
        <f t="shared" si="36"/>
        <v>#VALUE!</v>
      </c>
      <c r="J113" s="3">
        <f t="shared" si="28"/>
        <v>354</v>
      </c>
      <c r="K113" t="e">
        <f t="shared" si="29"/>
        <v>#VALUE!</v>
      </c>
      <c r="L113" s="4">
        <f t="shared" si="30"/>
        <v>0.35985533453887886</v>
      </c>
      <c r="M113" t="str">
        <f t="shared" si="31"/>
        <v>Medium Discount</v>
      </c>
      <c r="O113" s="7">
        <f t="shared" si="32"/>
        <v>0.35985533453887886</v>
      </c>
      <c r="P113">
        <f t="shared" si="33"/>
        <v>199</v>
      </c>
      <c r="Q113">
        <f t="shared" si="34"/>
        <v>199</v>
      </c>
      <c r="R113" t="e">
        <f t="shared" si="35"/>
        <v>#DIV/0!</v>
      </c>
    </row>
    <row r="114" spans="1:18" x14ac:dyDescent="0.2">
      <c r="B114" s="2"/>
      <c r="C114" s="3"/>
      <c r="D114" s="2"/>
      <c r="E114" s="3"/>
      <c r="F114" s="1"/>
      <c r="J114" s="3"/>
      <c r="L114" s="4"/>
    </row>
  </sheetData>
  <sortState ref="A2:R114">
    <sortCondition descending="1" ref="L2:L114"/>
    <sortCondition descending="1" ref="G2:G114"/>
  </sortState>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4"/>
  <sheetViews>
    <sheetView topLeftCell="A67" zoomScale="90" zoomScaleNormal="90" workbookViewId="0">
      <selection sqref="A1:M113"/>
    </sheetView>
  </sheetViews>
  <sheetFormatPr baseColWidth="10" defaultColWidth="8.83203125" defaultRowHeight="15" x14ac:dyDescent="0.2"/>
  <cols>
    <col min="1" max="1" width="89.1640625" bestFit="1" customWidth="1"/>
    <col min="2" max="2" width="6.83203125" customWidth="1"/>
    <col min="3" max="3" width="14.83203125" bestFit="1" customWidth="1"/>
    <col min="4" max="4" width="5.6640625" customWidth="1"/>
    <col min="5" max="5" width="18.33203125" customWidth="1"/>
    <col min="6" max="6" width="9.83203125" customWidth="1"/>
    <col min="7" max="7" width="9" customWidth="1"/>
    <col min="8" max="8" width="10.33203125" bestFit="1" customWidth="1"/>
    <col min="9" max="9" width="9" customWidth="1"/>
    <col min="10" max="10" width="16.5" customWidth="1"/>
    <col min="11" max="11" width="10.33203125" customWidth="1"/>
    <col min="12" max="12" width="18" customWidth="1"/>
    <col min="13" max="13" width="18.83203125" customWidth="1"/>
    <col min="14" max="14" width="18.6640625" bestFit="1" customWidth="1"/>
    <col min="15" max="15" width="15.1640625" bestFit="1" customWidth="1"/>
    <col min="16" max="16" width="19.6640625" style="7" bestFit="1" customWidth="1"/>
    <col min="17" max="17" width="11.6640625" customWidth="1"/>
    <col min="19" max="19" width="14" customWidth="1"/>
  </cols>
  <sheetData>
    <row r="1" spans="1:19" s="8" customFormat="1" ht="97" thickBot="1" x14ac:dyDescent="0.25">
      <c r="A1" s="57" t="s">
        <v>0</v>
      </c>
      <c r="B1" s="58" t="s">
        <v>323</v>
      </c>
      <c r="C1" s="57" t="s">
        <v>326</v>
      </c>
      <c r="D1" s="58" t="s">
        <v>327</v>
      </c>
      <c r="E1" s="57" t="s">
        <v>2</v>
      </c>
      <c r="F1" s="57" t="s">
        <v>3</v>
      </c>
      <c r="G1" s="57" t="s">
        <v>4</v>
      </c>
      <c r="H1" s="57" t="s">
        <v>5</v>
      </c>
      <c r="I1" s="59" t="s">
        <v>329</v>
      </c>
      <c r="J1" s="59" t="s">
        <v>330</v>
      </c>
      <c r="K1" s="59" t="s">
        <v>331</v>
      </c>
      <c r="L1" s="59" t="s">
        <v>332</v>
      </c>
      <c r="M1" s="59" t="s">
        <v>351</v>
      </c>
      <c r="N1" s="9" t="s">
        <v>333</v>
      </c>
      <c r="O1" s="9" t="s">
        <v>334</v>
      </c>
      <c r="P1" s="10" t="s">
        <v>335</v>
      </c>
      <c r="Q1" s="11" t="s">
        <v>336</v>
      </c>
      <c r="R1" s="11" t="s">
        <v>337</v>
      </c>
      <c r="S1" s="15" t="s">
        <v>348</v>
      </c>
    </row>
    <row r="2" spans="1:19" ht="16" hidden="1" thickBot="1" x14ac:dyDescent="0.25">
      <c r="A2" t="s">
        <v>75</v>
      </c>
      <c r="B2" s="2" t="s">
        <v>324</v>
      </c>
      <c r="C2" s="3">
        <v>1860</v>
      </c>
      <c r="D2" s="2" t="s">
        <v>324</v>
      </c>
      <c r="E2" s="3">
        <v>3220</v>
      </c>
      <c r="F2" s="1">
        <v>0.42</v>
      </c>
      <c r="I2" t="e">
        <f t="shared" ref="I2:I33" si="0">VALUE(LEFT(H2, FIND(" ", H2)-1))</f>
        <v>#VALUE!</v>
      </c>
      <c r="J2" s="3">
        <f t="shared" ref="J2:J33" si="1">E2-C2</f>
        <v>1360</v>
      </c>
      <c r="K2" t="e">
        <f t="shared" ref="K2:K33" si="2">IF(I2&lt;3,"Poor",IF(I2&lt;4.5,"Average","Excellent"))</f>
        <v>#VALUE!</v>
      </c>
      <c r="L2" s="4">
        <f t="shared" ref="L2:L33" si="3">C2/E2</f>
        <v>0.57763975155279501</v>
      </c>
      <c r="M2" t="str">
        <f t="shared" ref="M2:M33" si="4">IF(L2&lt;20%,"Low Discount",IF(L2&lt;=40%,"Medium Discount","High Discount"))</f>
        <v>High Discount</v>
      </c>
      <c r="P2" s="7">
        <f t="shared" ref="P2:P33" si="5">AVERAGE(L2:L10)</f>
        <v>0.60741269546898868</v>
      </c>
      <c r="Q2">
        <f t="shared" ref="Q2:Q33" si="6">MAX(C2:C113)</f>
        <v>3750</v>
      </c>
      <c r="R2">
        <f t="shared" ref="R2:R33" si="7">MIN(C2:C113)</f>
        <v>38</v>
      </c>
      <c r="S2" t="e">
        <f t="shared" ref="S2:S33" si="8">CORREL(L2:L113,G2:G113)</f>
        <v>#VALUE!</v>
      </c>
    </row>
    <row r="3" spans="1:19" ht="16" hidden="1" thickBot="1" x14ac:dyDescent="0.25">
      <c r="A3" t="s">
        <v>99</v>
      </c>
      <c r="B3" s="2" t="s">
        <v>324</v>
      </c>
      <c r="C3" s="3">
        <v>2200</v>
      </c>
      <c r="D3" s="2" t="s">
        <v>324</v>
      </c>
      <c r="E3" s="3">
        <v>4080</v>
      </c>
      <c r="F3" s="1">
        <v>0.46</v>
      </c>
      <c r="I3" t="e">
        <f t="shared" si="0"/>
        <v>#VALUE!</v>
      </c>
      <c r="J3" s="3">
        <f t="shared" si="1"/>
        <v>1880</v>
      </c>
      <c r="K3" t="e">
        <f t="shared" si="2"/>
        <v>#VALUE!</v>
      </c>
      <c r="L3" s="4">
        <f t="shared" si="3"/>
        <v>0.53921568627450978</v>
      </c>
      <c r="M3" t="str">
        <f t="shared" si="4"/>
        <v>High Discount</v>
      </c>
      <c r="P3" s="7">
        <f t="shared" si="5"/>
        <v>0.59988365856899883</v>
      </c>
      <c r="Q3">
        <f t="shared" si="6"/>
        <v>3750</v>
      </c>
      <c r="R3">
        <f t="shared" si="7"/>
        <v>38</v>
      </c>
      <c r="S3" t="e">
        <f t="shared" si="8"/>
        <v>#VALUE!</v>
      </c>
    </row>
    <row r="4" spans="1:19" ht="16" hidden="1" thickBot="1" x14ac:dyDescent="0.25">
      <c r="A4" t="s">
        <v>128</v>
      </c>
      <c r="B4" s="2" t="s">
        <v>324</v>
      </c>
      <c r="C4" s="3">
        <v>2750</v>
      </c>
      <c r="D4" s="2" t="s">
        <v>324</v>
      </c>
      <c r="E4" s="3">
        <v>4471</v>
      </c>
      <c r="F4" s="1">
        <v>0.38</v>
      </c>
      <c r="I4" t="e">
        <f t="shared" si="0"/>
        <v>#VALUE!</v>
      </c>
      <c r="J4" s="3">
        <f t="shared" si="1"/>
        <v>1721</v>
      </c>
      <c r="K4" t="e">
        <f t="shared" si="2"/>
        <v>#VALUE!</v>
      </c>
      <c r="L4" s="4">
        <f t="shared" si="3"/>
        <v>0.61507492730932678</v>
      </c>
      <c r="M4" t="str">
        <f t="shared" si="4"/>
        <v>High Discount</v>
      </c>
      <c r="P4" s="7">
        <f t="shared" si="5"/>
        <v>0.60834687291456602</v>
      </c>
      <c r="Q4">
        <f t="shared" si="6"/>
        <v>3750</v>
      </c>
      <c r="R4">
        <f t="shared" si="7"/>
        <v>38</v>
      </c>
      <c r="S4" t="e">
        <f t="shared" si="8"/>
        <v>#VALUE!</v>
      </c>
    </row>
    <row r="5" spans="1:19" ht="16" hidden="1" thickBot="1" x14ac:dyDescent="0.25">
      <c r="A5" t="s">
        <v>131</v>
      </c>
      <c r="B5" s="2" t="s">
        <v>324</v>
      </c>
      <c r="C5">
        <v>475</v>
      </c>
      <c r="D5" s="2" t="s">
        <v>324</v>
      </c>
      <c r="E5">
        <v>931</v>
      </c>
      <c r="F5" s="1">
        <v>0.49</v>
      </c>
      <c r="I5" t="e">
        <f t="shared" si="0"/>
        <v>#VALUE!</v>
      </c>
      <c r="J5" s="3">
        <f t="shared" si="1"/>
        <v>456</v>
      </c>
      <c r="K5" t="e">
        <f t="shared" si="2"/>
        <v>#VALUE!</v>
      </c>
      <c r="L5" s="4">
        <f t="shared" si="3"/>
        <v>0.51020408163265307</v>
      </c>
      <c r="M5" t="str">
        <f t="shared" si="4"/>
        <v>High Discount</v>
      </c>
      <c r="P5" s="7">
        <f t="shared" si="5"/>
        <v>0.58387646652922642</v>
      </c>
      <c r="Q5">
        <f t="shared" si="6"/>
        <v>3750</v>
      </c>
      <c r="R5">
        <f t="shared" si="7"/>
        <v>38</v>
      </c>
      <c r="S5" t="e">
        <f t="shared" si="8"/>
        <v>#VALUE!</v>
      </c>
    </row>
    <row r="6" spans="1:19" ht="16" hidden="1" thickBot="1" x14ac:dyDescent="0.25">
      <c r="A6" t="s">
        <v>134</v>
      </c>
      <c r="B6" s="2" t="s">
        <v>324</v>
      </c>
      <c r="C6">
        <v>238</v>
      </c>
      <c r="D6" s="2" t="s">
        <v>324</v>
      </c>
      <c r="E6">
        <v>476</v>
      </c>
      <c r="F6" s="1">
        <v>0.5</v>
      </c>
      <c r="I6" t="e">
        <f t="shared" si="0"/>
        <v>#VALUE!</v>
      </c>
      <c r="J6" s="3">
        <f t="shared" si="1"/>
        <v>238</v>
      </c>
      <c r="K6" t="e">
        <f t="shared" si="2"/>
        <v>#VALUE!</v>
      </c>
      <c r="L6" s="4">
        <f t="shared" si="3"/>
        <v>0.5</v>
      </c>
      <c r="M6" t="str">
        <f t="shared" si="4"/>
        <v>High Discount</v>
      </c>
      <c r="P6" s="7">
        <f t="shared" si="5"/>
        <v>0.58255749449596861</v>
      </c>
      <c r="Q6">
        <f t="shared" si="6"/>
        <v>3750</v>
      </c>
      <c r="R6">
        <f t="shared" si="7"/>
        <v>38</v>
      </c>
      <c r="S6" t="e">
        <f t="shared" si="8"/>
        <v>#VALUE!</v>
      </c>
    </row>
    <row r="7" spans="1:19" ht="16" hidden="1" thickBot="1" x14ac:dyDescent="0.25">
      <c r="A7" t="s">
        <v>137</v>
      </c>
      <c r="B7" s="2" t="s">
        <v>324</v>
      </c>
      <c r="C7">
        <v>610</v>
      </c>
      <c r="D7" s="2" t="s">
        <v>324</v>
      </c>
      <c r="E7" s="3">
        <v>1060</v>
      </c>
      <c r="F7" s="1">
        <v>0.42</v>
      </c>
      <c r="I7" t="e">
        <f t="shared" si="0"/>
        <v>#VALUE!</v>
      </c>
      <c r="J7" s="3">
        <f t="shared" si="1"/>
        <v>450</v>
      </c>
      <c r="K7" t="e">
        <f t="shared" si="2"/>
        <v>#VALUE!</v>
      </c>
      <c r="L7" s="4">
        <f t="shared" si="3"/>
        <v>0.57547169811320753</v>
      </c>
      <c r="M7" t="str">
        <f t="shared" si="4"/>
        <v>High Discount</v>
      </c>
      <c r="P7" s="7">
        <f t="shared" si="5"/>
        <v>0.63556253013784947</v>
      </c>
      <c r="Q7">
        <f t="shared" si="6"/>
        <v>3750</v>
      </c>
      <c r="R7">
        <f t="shared" si="7"/>
        <v>38</v>
      </c>
      <c r="S7" t="e">
        <f t="shared" si="8"/>
        <v>#VALUE!</v>
      </c>
    </row>
    <row r="8" spans="1:19" ht="16" hidden="1" thickBot="1" x14ac:dyDescent="0.25">
      <c r="A8" t="s">
        <v>140</v>
      </c>
      <c r="B8" s="2" t="s">
        <v>324</v>
      </c>
      <c r="C8" s="3">
        <v>2132</v>
      </c>
      <c r="D8" s="2" t="s">
        <v>324</v>
      </c>
      <c r="E8" s="3">
        <v>2169</v>
      </c>
      <c r="F8" s="1">
        <v>0.02</v>
      </c>
      <c r="I8" t="e">
        <f t="shared" si="0"/>
        <v>#VALUE!</v>
      </c>
      <c r="J8" s="3">
        <f t="shared" si="1"/>
        <v>37</v>
      </c>
      <c r="K8" t="e">
        <f t="shared" si="2"/>
        <v>#VALUE!</v>
      </c>
      <c r="L8" s="4">
        <f t="shared" si="3"/>
        <v>0.98294144767173808</v>
      </c>
      <c r="M8" t="str">
        <f t="shared" si="4"/>
        <v>High Discount</v>
      </c>
      <c r="P8" s="7">
        <f t="shared" si="5"/>
        <v>0.65813743405119685</v>
      </c>
      <c r="Q8">
        <f t="shared" si="6"/>
        <v>3750</v>
      </c>
      <c r="R8">
        <f t="shared" si="7"/>
        <v>38</v>
      </c>
      <c r="S8" t="e">
        <f t="shared" si="8"/>
        <v>#VALUE!</v>
      </c>
    </row>
    <row r="9" spans="1:19" ht="16" hidden="1" thickBot="1" x14ac:dyDescent="0.25">
      <c r="A9" t="s">
        <v>143</v>
      </c>
      <c r="B9" s="2" t="s">
        <v>324</v>
      </c>
      <c r="C9">
        <v>999</v>
      </c>
      <c r="D9" s="2" t="s">
        <v>324</v>
      </c>
      <c r="E9" s="3">
        <v>2000</v>
      </c>
      <c r="F9" s="1">
        <v>0.5</v>
      </c>
      <c r="I9" t="e">
        <f t="shared" si="0"/>
        <v>#VALUE!</v>
      </c>
      <c r="J9" s="3">
        <f t="shared" si="1"/>
        <v>1001</v>
      </c>
      <c r="K9" t="e">
        <f t="shared" si="2"/>
        <v>#VALUE!</v>
      </c>
      <c r="L9" s="4">
        <f t="shared" si="3"/>
        <v>0.4995</v>
      </c>
      <c r="M9" t="str">
        <f t="shared" si="4"/>
        <v>High Discount</v>
      </c>
      <c r="P9" s="7">
        <f t="shared" si="5"/>
        <v>0.65706788916498116</v>
      </c>
      <c r="Q9">
        <f t="shared" si="6"/>
        <v>3750</v>
      </c>
      <c r="R9">
        <f t="shared" si="7"/>
        <v>38</v>
      </c>
      <c r="S9" t="e">
        <f t="shared" si="8"/>
        <v>#VALUE!</v>
      </c>
    </row>
    <row r="10" spans="1:19" ht="16" hidden="1" thickBot="1" x14ac:dyDescent="0.25">
      <c r="A10" t="s">
        <v>145</v>
      </c>
      <c r="B10" s="2" t="s">
        <v>324</v>
      </c>
      <c r="C10" s="3">
        <v>1190</v>
      </c>
      <c r="D10" s="2" t="s">
        <v>324</v>
      </c>
      <c r="E10" s="3">
        <v>1785</v>
      </c>
      <c r="F10" s="1">
        <v>0.33</v>
      </c>
      <c r="I10" t="e">
        <f t="shared" si="0"/>
        <v>#VALUE!</v>
      </c>
      <c r="J10" s="3">
        <f t="shared" si="1"/>
        <v>595</v>
      </c>
      <c r="K10" t="e">
        <f t="shared" si="2"/>
        <v>#VALUE!</v>
      </c>
      <c r="L10" s="4">
        <f t="shared" si="3"/>
        <v>0.66666666666666663</v>
      </c>
      <c r="M10" t="str">
        <f t="shared" si="4"/>
        <v>High Discount</v>
      </c>
      <c r="P10" s="7">
        <f t="shared" si="5"/>
        <v>0.66767196792728778</v>
      </c>
      <c r="Q10">
        <f t="shared" si="6"/>
        <v>3750</v>
      </c>
      <c r="R10">
        <f t="shared" si="7"/>
        <v>38</v>
      </c>
      <c r="S10" t="e">
        <f t="shared" si="8"/>
        <v>#VALUE!</v>
      </c>
    </row>
    <row r="11" spans="1:19" ht="16" hidden="1" thickBot="1" x14ac:dyDescent="0.25">
      <c r="A11" t="s">
        <v>148</v>
      </c>
      <c r="B11" s="2" t="s">
        <v>324</v>
      </c>
      <c r="C11">
        <v>671</v>
      </c>
      <c r="D11" s="2" t="s">
        <v>324</v>
      </c>
      <c r="E11" s="3">
        <v>1316</v>
      </c>
      <c r="F11" s="1">
        <v>0.49</v>
      </c>
      <c r="I11" t="e">
        <f t="shared" si="0"/>
        <v>#VALUE!</v>
      </c>
      <c r="J11" s="3">
        <f t="shared" si="1"/>
        <v>645</v>
      </c>
      <c r="K11" t="e">
        <f t="shared" si="2"/>
        <v>#VALUE!</v>
      </c>
      <c r="L11" s="4">
        <f t="shared" si="3"/>
        <v>0.50987841945288759</v>
      </c>
      <c r="M11" t="str">
        <f t="shared" si="4"/>
        <v>High Discount</v>
      </c>
      <c r="P11" s="7">
        <f t="shared" si="5"/>
        <v>0.65520283212481856</v>
      </c>
      <c r="Q11">
        <f t="shared" si="6"/>
        <v>3750</v>
      </c>
      <c r="R11">
        <f t="shared" si="7"/>
        <v>38</v>
      </c>
      <c r="S11" t="e">
        <f t="shared" si="8"/>
        <v>#VALUE!</v>
      </c>
    </row>
    <row r="12" spans="1:19" ht="16" hidden="1" thickBot="1" x14ac:dyDescent="0.25">
      <c r="A12" t="s">
        <v>151</v>
      </c>
      <c r="B12" s="2" t="s">
        <v>324</v>
      </c>
      <c r="C12" s="3">
        <v>1200</v>
      </c>
      <c r="D12" s="2" t="s">
        <v>324</v>
      </c>
      <c r="E12" s="3">
        <v>1950</v>
      </c>
      <c r="F12" s="1">
        <v>0.38</v>
      </c>
      <c r="I12" t="e">
        <f t="shared" si="0"/>
        <v>#VALUE!</v>
      </c>
      <c r="J12" s="3">
        <f t="shared" si="1"/>
        <v>750</v>
      </c>
      <c r="K12" t="e">
        <f t="shared" si="2"/>
        <v>#VALUE!</v>
      </c>
      <c r="L12" s="4">
        <f t="shared" si="3"/>
        <v>0.61538461538461542</v>
      </c>
      <c r="M12" t="str">
        <f t="shared" si="4"/>
        <v>High Discount</v>
      </c>
      <c r="P12" s="7">
        <f t="shared" si="5"/>
        <v>0.65638040163543099</v>
      </c>
      <c r="Q12">
        <f t="shared" si="6"/>
        <v>3750</v>
      </c>
      <c r="R12">
        <f t="shared" si="7"/>
        <v>38</v>
      </c>
      <c r="S12" t="e">
        <f t="shared" si="8"/>
        <v>#VALUE!</v>
      </c>
    </row>
    <row r="13" spans="1:19" ht="16" hidden="1" thickBot="1" x14ac:dyDescent="0.25">
      <c r="A13" t="s">
        <v>154</v>
      </c>
      <c r="B13" s="2" t="s">
        <v>324</v>
      </c>
      <c r="C13">
        <v>199</v>
      </c>
      <c r="D13" s="2" t="s">
        <v>324</v>
      </c>
      <c r="E13">
        <v>504</v>
      </c>
      <c r="F13" s="1">
        <v>0.61</v>
      </c>
      <c r="I13" t="e">
        <f t="shared" si="0"/>
        <v>#VALUE!</v>
      </c>
      <c r="J13" s="3">
        <f t="shared" si="1"/>
        <v>305</v>
      </c>
      <c r="K13" t="e">
        <f t="shared" si="2"/>
        <v>#VALUE!</v>
      </c>
      <c r="L13" s="4">
        <f t="shared" si="3"/>
        <v>0.39484126984126983</v>
      </c>
      <c r="M13" t="str">
        <f t="shared" si="4"/>
        <v>Medium Discount</v>
      </c>
      <c r="P13" s="7">
        <f t="shared" si="5"/>
        <v>0.6446589457531583</v>
      </c>
      <c r="Q13">
        <f t="shared" si="6"/>
        <v>3750</v>
      </c>
      <c r="R13">
        <f t="shared" si="7"/>
        <v>38</v>
      </c>
      <c r="S13" t="e">
        <f t="shared" si="8"/>
        <v>#VALUE!</v>
      </c>
    </row>
    <row r="14" spans="1:19" ht="16" hidden="1" thickBot="1" x14ac:dyDescent="0.25">
      <c r="A14" t="s">
        <v>157</v>
      </c>
      <c r="B14" s="2" t="s">
        <v>324</v>
      </c>
      <c r="C14">
        <v>299</v>
      </c>
      <c r="D14" s="2" t="s">
        <v>324</v>
      </c>
      <c r="E14">
        <v>600</v>
      </c>
      <c r="F14" s="1">
        <v>0.5</v>
      </c>
      <c r="I14" t="e">
        <f t="shared" si="0"/>
        <v>#VALUE!</v>
      </c>
      <c r="J14" s="3">
        <f t="shared" si="1"/>
        <v>301</v>
      </c>
      <c r="K14" t="e">
        <f t="shared" si="2"/>
        <v>#VALUE!</v>
      </c>
      <c r="L14" s="4">
        <f t="shared" si="3"/>
        <v>0.49833333333333335</v>
      </c>
      <c r="M14" t="str">
        <f t="shared" si="4"/>
        <v>High Discount</v>
      </c>
      <c r="P14" s="7">
        <f t="shared" si="5"/>
        <v>0.6824149901364992</v>
      </c>
      <c r="Q14">
        <f t="shared" si="6"/>
        <v>3750</v>
      </c>
      <c r="R14">
        <f t="shared" si="7"/>
        <v>38</v>
      </c>
      <c r="S14" t="e">
        <f t="shared" si="8"/>
        <v>#VALUE!</v>
      </c>
    </row>
    <row r="15" spans="1:19" ht="16" hidden="1" thickBot="1" x14ac:dyDescent="0.25">
      <c r="A15" t="s">
        <v>160</v>
      </c>
      <c r="B15" s="2" t="s">
        <v>324</v>
      </c>
      <c r="C15" s="3">
        <v>1660</v>
      </c>
      <c r="D15" s="2" t="s">
        <v>324</v>
      </c>
      <c r="E15" s="3">
        <v>1699</v>
      </c>
      <c r="F15" s="1">
        <v>0.02</v>
      </c>
      <c r="I15" t="e">
        <f t="shared" si="0"/>
        <v>#VALUE!</v>
      </c>
      <c r="J15" s="3">
        <f t="shared" si="1"/>
        <v>39</v>
      </c>
      <c r="K15" t="e">
        <f t="shared" si="2"/>
        <v>#VALUE!</v>
      </c>
      <c r="L15" s="4">
        <f t="shared" si="3"/>
        <v>0.97704532077692763</v>
      </c>
      <c r="M15" t="str">
        <f t="shared" si="4"/>
        <v>High Discount</v>
      </c>
      <c r="P15" s="7">
        <f t="shared" si="5"/>
        <v>0.67652378643279554</v>
      </c>
      <c r="Q15">
        <f t="shared" si="6"/>
        <v>3750</v>
      </c>
      <c r="R15">
        <f t="shared" si="7"/>
        <v>38</v>
      </c>
      <c r="S15" t="e">
        <f t="shared" si="8"/>
        <v>#VALUE!</v>
      </c>
    </row>
    <row r="16" spans="1:19" ht="16" hidden="1" thickBot="1" x14ac:dyDescent="0.25">
      <c r="A16" t="s">
        <v>163</v>
      </c>
      <c r="B16" s="2" t="s">
        <v>324</v>
      </c>
      <c r="C16">
        <v>299</v>
      </c>
      <c r="D16" s="2" t="s">
        <v>324</v>
      </c>
      <c r="E16">
        <v>384</v>
      </c>
      <c r="F16" s="1">
        <v>0.22</v>
      </c>
      <c r="I16" t="e">
        <f t="shared" si="0"/>
        <v>#VALUE!</v>
      </c>
      <c r="J16" s="3">
        <f t="shared" si="1"/>
        <v>85</v>
      </c>
      <c r="K16" t="e">
        <f t="shared" si="2"/>
        <v>#VALUE!</v>
      </c>
      <c r="L16" s="4">
        <f t="shared" si="3"/>
        <v>0.77864583333333337</v>
      </c>
      <c r="M16" t="str">
        <f t="shared" si="4"/>
        <v>High Discount</v>
      </c>
      <c r="P16" s="7">
        <f t="shared" si="5"/>
        <v>0.62707280990052949</v>
      </c>
      <c r="Q16">
        <f t="shared" si="6"/>
        <v>3750</v>
      </c>
      <c r="R16">
        <f t="shared" si="7"/>
        <v>38</v>
      </c>
      <c r="S16" t="e">
        <f t="shared" si="8"/>
        <v>#VALUE!</v>
      </c>
    </row>
    <row r="17" spans="1:19" ht="16" hidden="1" thickBot="1" x14ac:dyDescent="0.25">
      <c r="A17" t="s">
        <v>165</v>
      </c>
      <c r="B17" s="2" t="s">
        <v>324</v>
      </c>
      <c r="C17" s="3">
        <v>1459</v>
      </c>
      <c r="D17" s="2" t="s">
        <v>324</v>
      </c>
      <c r="E17" s="3">
        <v>1499</v>
      </c>
      <c r="F17" s="1">
        <v>0.03</v>
      </c>
      <c r="I17" t="e">
        <f t="shared" si="0"/>
        <v>#VALUE!</v>
      </c>
      <c r="J17" s="3">
        <f t="shared" si="1"/>
        <v>40</v>
      </c>
      <c r="K17" t="e">
        <f t="shared" si="2"/>
        <v>#VALUE!</v>
      </c>
      <c r="L17" s="4">
        <f t="shared" si="3"/>
        <v>0.9733155436957972</v>
      </c>
      <c r="M17" t="str">
        <f t="shared" si="4"/>
        <v>High Discount</v>
      </c>
      <c r="P17" s="7">
        <f t="shared" si="5"/>
        <v>0.60444549508571466</v>
      </c>
      <c r="Q17">
        <f t="shared" si="6"/>
        <v>3750</v>
      </c>
      <c r="R17">
        <f t="shared" si="7"/>
        <v>38</v>
      </c>
      <c r="S17" t="e">
        <f t="shared" si="8"/>
        <v>#VALUE!</v>
      </c>
    </row>
    <row r="18" spans="1:19" ht="16" hidden="1" thickBot="1" x14ac:dyDescent="0.25">
      <c r="A18" t="s">
        <v>168</v>
      </c>
      <c r="B18" s="2" t="s">
        <v>324</v>
      </c>
      <c r="C18">
        <v>799</v>
      </c>
      <c r="D18" s="2" t="s">
        <v>324</v>
      </c>
      <c r="E18" s="3">
        <v>1343</v>
      </c>
      <c r="F18" s="1">
        <v>0.41</v>
      </c>
      <c r="I18" t="e">
        <f t="shared" si="0"/>
        <v>#VALUE!</v>
      </c>
      <c r="J18" s="3">
        <f t="shared" si="1"/>
        <v>544</v>
      </c>
      <c r="K18" t="e">
        <f t="shared" si="2"/>
        <v>#VALUE!</v>
      </c>
      <c r="L18" s="4">
        <f t="shared" si="3"/>
        <v>0.59493670886075944</v>
      </c>
      <c r="M18" t="str">
        <f t="shared" si="4"/>
        <v>High Discount</v>
      </c>
      <c r="P18" s="7">
        <f t="shared" si="5"/>
        <v>0.60327233326070451</v>
      </c>
      <c r="Q18">
        <f t="shared" si="6"/>
        <v>3750</v>
      </c>
      <c r="R18">
        <f t="shared" si="7"/>
        <v>38</v>
      </c>
      <c r="S18" t="e">
        <f t="shared" si="8"/>
        <v>#VALUE!</v>
      </c>
    </row>
    <row r="19" spans="1:19" ht="16" hidden="1" thickBot="1" x14ac:dyDescent="0.25">
      <c r="A19" t="s">
        <v>170</v>
      </c>
      <c r="B19" s="2" t="s">
        <v>324</v>
      </c>
      <c r="C19">
        <v>499</v>
      </c>
      <c r="D19" s="2" t="s">
        <v>324</v>
      </c>
      <c r="E19">
        <v>900</v>
      </c>
      <c r="F19" s="1">
        <v>0.45</v>
      </c>
      <c r="I19" t="e">
        <f t="shared" si="0"/>
        <v>#VALUE!</v>
      </c>
      <c r="J19" s="3">
        <f t="shared" si="1"/>
        <v>401</v>
      </c>
      <c r="K19" t="e">
        <f t="shared" si="2"/>
        <v>#VALUE!</v>
      </c>
      <c r="L19" s="4">
        <f t="shared" si="3"/>
        <v>0.55444444444444441</v>
      </c>
      <c r="M19" t="str">
        <f t="shared" si="4"/>
        <v>High Discount</v>
      </c>
      <c r="P19" s="7">
        <f t="shared" si="5"/>
        <v>0.59395837795518802</v>
      </c>
      <c r="Q19">
        <f t="shared" si="6"/>
        <v>3750</v>
      </c>
      <c r="R19">
        <f t="shared" si="7"/>
        <v>38</v>
      </c>
      <c r="S19" t="e">
        <f t="shared" si="8"/>
        <v>#VALUE!</v>
      </c>
    </row>
    <row r="20" spans="1:19" ht="16" hidden="1" thickBot="1" x14ac:dyDescent="0.25">
      <c r="A20" t="s">
        <v>173</v>
      </c>
      <c r="B20" s="2" t="s">
        <v>324</v>
      </c>
      <c r="C20">
        <v>699</v>
      </c>
      <c r="D20" s="2" t="s">
        <v>324</v>
      </c>
      <c r="E20" s="3">
        <v>1343</v>
      </c>
      <c r="F20" s="1">
        <v>0.48</v>
      </c>
      <c r="I20" t="e">
        <f t="shared" si="0"/>
        <v>#VALUE!</v>
      </c>
      <c r="J20" s="3">
        <f t="shared" si="1"/>
        <v>644</v>
      </c>
      <c r="K20" t="e">
        <f t="shared" si="2"/>
        <v>#VALUE!</v>
      </c>
      <c r="L20" s="4">
        <f t="shared" si="3"/>
        <v>0.52047654504839913</v>
      </c>
      <c r="M20" t="str">
        <f t="shared" si="4"/>
        <v>High Discount</v>
      </c>
      <c r="P20" s="7">
        <f t="shared" si="5"/>
        <v>0.60319283803389856</v>
      </c>
      <c r="Q20">
        <f t="shared" si="6"/>
        <v>3750</v>
      </c>
      <c r="R20">
        <f t="shared" si="7"/>
        <v>38</v>
      </c>
      <c r="S20" t="e">
        <f t="shared" si="8"/>
        <v>#VALUE!</v>
      </c>
    </row>
    <row r="21" spans="1:19" ht="16" hidden="1" thickBot="1" x14ac:dyDescent="0.25">
      <c r="A21" t="s">
        <v>175</v>
      </c>
      <c r="B21" s="2" t="s">
        <v>324</v>
      </c>
      <c r="C21">
        <v>799</v>
      </c>
      <c r="D21" s="2" t="s">
        <v>324</v>
      </c>
      <c r="E21" s="3">
        <v>1567</v>
      </c>
      <c r="F21" s="1">
        <v>0.49</v>
      </c>
      <c r="I21" t="e">
        <f t="shared" si="0"/>
        <v>#VALUE!</v>
      </c>
      <c r="J21" s="3">
        <f t="shared" si="1"/>
        <v>768</v>
      </c>
      <c r="K21" t="e">
        <f t="shared" si="2"/>
        <v>#VALUE!</v>
      </c>
      <c r="L21" s="4">
        <f t="shared" si="3"/>
        <v>0.50989151244416087</v>
      </c>
      <c r="M21" t="str">
        <f t="shared" si="4"/>
        <v>High Discount</v>
      </c>
      <c r="P21" s="7">
        <f t="shared" si="5"/>
        <v>0.65431508968276175</v>
      </c>
      <c r="Q21">
        <f t="shared" si="6"/>
        <v>3750</v>
      </c>
      <c r="R21">
        <f t="shared" si="7"/>
        <v>38</v>
      </c>
      <c r="S21" t="e">
        <f t="shared" si="8"/>
        <v>#VALUE!</v>
      </c>
    </row>
    <row r="22" spans="1:19" ht="16" hidden="1" thickBot="1" x14ac:dyDescent="0.25">
      <c r="A22" t="s">
        <v>177</v>
      </c>
      <c r="B22" s="2" t="s">
        <v>324</v>
      </c>
      <c r="C22" s="3">
        <v>2799</v>
      </c>
      <c r="D22" s="2" t="s">
        <v>324</v>
      </c>
      <c r="E22" s="3">
        <v>3810</v>
      </c>
      <c r="F22" s="1">
        <v>0.27</v>
      </c>
      <c r="I22" t="e">
        <f t="shared" si="0"/>
        <v>#VALUE!</v>
      </c>
      <c r="J22" s="3">
        <f t="shared" si="1"/>
        <v>1011</v>
      </c>
      <c r="K22" t="e">
        <f t="shared" si="2"/>
        <v>#VALUE!</v>
      </c>
      <c r="L22" s="4">
        <f t="shared" si="3"/>
        <v>0.73464566929133857</v>
      </c>
      <c r="M22" t="str">
        <f t="shared" si="4"/>
        <v>High Discount</v>
      </c>
      <c r="P22" s="7">
        <f t="shared" si="5"/>
        <v>0.65434324691521428</v>
      </c>
      <c r="Q22">
        <f t="shared" si="6"/>
        <v>3750</v>
      </c>
      <c r="R22">
        <f t="shared" si="7"/>
        <v>38</v>
      </c>
      <c r="S22" t="e">
        <f t="shared" si="8"/>
        <v>#VALUE!</v>
      </c>
    </row>
    <row r="23" spans="1:19" ht="16" hidden="1" thickBot="1" x14ac:dyDescent="0.25">
      <c r="A23" t="s">
        <v>170</v>
      </c>
      <c r="B23" s="2" t="s">
        <v>324</v>
      </c>
      <c r="C23">
        <v>399</v>
      </c>
      <c r="D23" s="2" t="s">
        <v>324</v>
      </c>
      <c r="E23">
        <v>896</v>
      </c>
      <c r="F23" s="1">
        <v>0.55000000000000004</v>
      </c>
      <c r="I23" t="e">
        <f t="shared" si="0"/>
        <v>#VALUE!</v>
      </c>
      <c r="J23" s="3">
        <f t="shared" si="1"/>
        <v>497</v>
      </c>
      <c r="K23" t="e">
        <f t="shared" si="2"/>
        <v>#VALUE!</v>
      </c>
      <c r="L23" s="4">
        <f t="shared" si="3"/>
        <v>0.4453125</v>
      </c>
      <c r="M23" t="str">
        <f t="shared" si="4"/>
        <v>High Discount</v>
      </c>
      <c r="P23" s="7">
        <f t="shared" si="5"/>
        <v>0.66858933990285507</v>
      </c>
      <c r="Q23">
        <f t="shared" si="6"/>
        <v>3750</v>
      </c>
      <c r="R23">
        <f t="shared" si="7"/>
        <v>38</v>
      </c>
      <c r="S23" t="e">
        <f t="shared" si="8"/>
        <v>#VALUE!</v>
      </c>
    </row>
    <row r="24" spans="1:19" ht="16" hidden="1" thickBot="1" x14ac:dyDescent="0.25">
      <c r="A24" t="s">
        <v>232</v>
      </c>
      <c r="B24" s="2" t="s">
        <v>324</v>
      </c>
      <c r="C24">
        <v>790</v>
      </c>
      <c r="D24" s="2" t="s">
        <v>324</v>
      </c>
      <c r="E24" s="3">
        <v>1485</v>
      </c>
      <c r="F24" s="1">
        <v>0.47</v>
      </c>
      <c r="I24" t="e">
        <f t="shared" si="0"/>
        <v>#VALUE!</v>
      </c>
      <c r="J24" s="3">
        <f t="shared" si="1"/>
        <v>695</v>
      </c>
      <c r="K24" t="e">
        <f t="shared" si="2"/>
        <v>#VALUE!</v>
      </c>
      <c r="L24" s="4">
        <f t="shared" si="3"/>
        <v>0.53198653198653201</v>
      </c>
      <c r="M24" t="str">
        <f t="shared" si="4"/>
        <v>High Discount</v>
      </c>
      <c r="P24" s="7">
        <f t="shared" si="5"/>
        <v>0.67580373830964169</v>
      </c>
      <c r="Q24">
        <f t="shared" si="6"/>
        <v>3750</v>
      </c>
      <c r="R24">
        <f t="shared" si="7"/>
        <v>38</v>
      </c>
      <c r="S24" t="e">
        <f t="shared" si="8"/>
        <v>#VALUE!</v>
      </c>
    </row>
    <row r="25" spans="1:19" ht="16" hidden="1" thickBot="1" x14ac:dyDescent="0.25">
      <c r="A25" t="s">
        <v>235</v>
      </c>
      <c r="B25" s="2" t="s">
        <v>324</v>
      </c>
      <c r="C25">
        <v>690</v>
      </c>
      <c r="D25" s="2" t="s">
        <v>324</v>
      </c>
      <c r="E25" s="3">
        <v>1200</v>
      </c>
      <c r="F25" s="1">
        <v>0.43</v>
      </c>
      <c r="I25" t="e">
        <f t="shared" si="0"/>
        <v>#VALUE!</v>
      </c>
      <c r="J25" s="3">
        <f t="shared" si="1"/>
        <v>510</v>
      </c>
      <c r="K25" t="e">
        <f t="shared" si="2"/>
        <v>#VALUE!</v>
      </c>
      <c r="L25" s="4">
        <f t="shared" si="3"/>
        <v>0.57499999999999996</v>
      </c>
      <c r="M25" t="str">
        <f t="shared" si="4"/>
        <v>High Discount</v>
      </c>
      <c r="P25" s="7">
        <f t="shared" si="5"/>
        <v>0.71533609895311345</v>
      </c>
      <c r="Q25">
        <f t="shared" si="6"/>
        <v>3750</v>
      </c>
      <c r="R25">
        <f t="shared" si="7"/>
        <v>38</v>
      </c>
      <c r="S25" t="e">
        <f t="shared" si="8"/>
        <v>#VALUE!</v>
      </c>
    </row>
    <row r="26" spans="1:19" ht="16" hidden="1" thickBot="1" x14ac:dyDescent="0.25">
      <c r="A26" t="s">
        <v>237</v>
      </c>
      <c r="B26" s="2" t="s">
        <v>324</v>
      </c>
      <c r="C26" s="3">
        <v>1732</v>
      </c>
      <c r="D26" s="2" t="s">
        <v>324</v>
      </c>
      <c r="E26" s="3">
        <v>1799</v>
      </c>
      <c r="F26" s="1">
        <v>0.04</v>
      </c>
      <c r="I26" t="e">
        <f t="shared" si="0"/>
        <v>#VALUE!</v>
      </c>
      <c r="J26" s="3">
        <f t="shared" si="1"/>
        <v>67</v>
      </c>
      <c r="K26" t="e">
        <f t="shared" si="2"/>
        <v>#VALUE!</v>
      </c>
      <c r="L26" s="4">
        <f t="shared" si="3"/>
        <v>0.96275708727070597</v>
      </c>
      <c r="M26" t="str">
        <f t="shared" si="4"/>
        <v>High Discount</v>
      </c>
      <c r="P26" s="7">
        <f t="shared" si="5"/>
        <v>0.70812422869776492</v>
      </c>
      <c r="Q26">
        <f t="shared" si="6"/>
        <v>3750</v>
      </c>
      <c r="R26">
        <f t="shared" si="7"/>
        <v>38</v>
      </c>
      <c r="S26" t="e">
        <f t="shared" si="8"/>
        <v>#VALUE!</v>
      </c>
    </row>
    <row r="27" spans="1:19" ht="16" hidden="1" thickBot="1" x14ac:dyDescent="0.25">
      <c r="A27" t="s">
        <v>240</v>
      </c>
      <c r="B27" s="2" t="s">
        <v>324</v>
      </c>
      <c r="C27">
        <v>230</v>
      </c>
      <c r="D27" s="2" t="s">
        <v>324</v>
      </c>
      <c r="E27">
        <v>450</v>
      </c>
      <c r="F27" s="1">
        <v>0.49</v>
      </c>
      <c r="I27" t="e">
        <f t="shared" si="0"/>
        <v>#VALUE!</v>
      </c>
      <c r="J27" s="3">
        <f t="shared" si="1"/>
        <v>220</v>
      </c>
      <c r="K27" t="e">
        <f t="shared" si="2"/>
        <v>#VALUE!</v>
      </c>
      <c r="L27" s="4">
        <f t="shared" si="3"/>
        <v>0.51111111111111107</v>
      </c>
      <c r="M27" t="str">
        <f t="shared" si="4"/>
        <v>High Discount</v>
      </c>
      <c r="P27" s="7">
        <f t="shared" si="5"/>
        <v>0.69715540446959601</v>
      </c>
      <c r="Q27">
        <f t="shared" si="6"/>
        <v>3750</v>
      </c>
      <c r="R27">
        <f t="shared" si="7"/>
        <v>38</v>
      </c>
      <c r="S27" t="e">
        <f t="shared" si="8"/>
        <v>#VALUE!</v>
      </c>
    </row>
    <row r="28" spans="1:19" ht="16" hidden="1" thickBot="1" x14ac:dyDescent="0.25">
      <c r="A28" t="s">
        <v>248</v>
      </c>
      <c r="B28" s="2" t="s">
        <v>324</v>
      </c>
      <c r="C28" s="3">
        <v>1460</v>
      </c>
      <c r="D28" s="2" t="s">
        <v>324</v>
      </c>
      <c r="E28" s="3">
        <v>2290</v>
      </c>
      <c r="F28" s="1">
        <v>0.36</v>
      </c>
      <c r="I28" t="e">
        <f t="shared" si="0"/>
        <v>#VALUE!</v>
      </c>
      <c r="J28" s="3">
        <f t="shared" si="1"/>
        <v>830</v>
      </c>
      <c r="K28" t="e">
        <f t="shared" si="2"/>
        <v>#VALUE!</v>
      </c>
      <c r="L28" s="4">
        <f t="shared" si="3"/>
        <v>0.63755458515283847</v>
      </c>
      <c r="M28" t="str">
        <f t="shared" si="4"/>
        <v>High Discount</v>
      </c>
      <c r="P28" s="7">
        <f t="shared" si="5"/>
        <v>0.70400164464916948</v>
      </c>
      <c r="Q28">
        <f t="shared" si="6"/>
        <v>3750</v>
      </c>
      <c r="R28">
        <f t="shared" si="7"/>
        <v>38</v>
      </c>
      <c r="S28" t="e">
        <f t="shared" si="8"/>
        <v>#VALUE!</v>
      </c>
    </row>
    <row r="29" spans="1:19" ht="16" hidden="1" thickBot="1" x14ac:dyDescent="0.25">
      <c r="A29" t="s">
        <v>251</v>
      </c>
      <c r="B29" s="2" t="s">
        <v>324</v>
      </c>
      <c r="C29" s="3">
        <v>1666</v>
      </c>
      <c r="D29" s="2" t="s">
        <v>324</v>
      </c>
      <c r="E29" s="3">
        <v>1699</v>
      </c>
      <c r="F29" s="1">
        <v>0.02</v>
      </c>
      <c r="I29" t="e">
        <f t="shared" si="0"/>
        <v>#VALUE!</v>
      </c>
      <c r="J29" s="3">
        <f t="shared" si="1"/>
        <v>33</v>
      </c>
      <c r="K29" t="e">
        <f t="shared" si="2"/>
        <v>#VALUE!</v>
      </c>
      <c r="L29" s="4">
        <f t="shared" si="3"/>
        <v>0.98057680988816953</v>
      </c>
      <c r="M29" t="str">
        <f t="shared" si="4"/>
        <v>High Discount</v>
      </c>
      <c r="P29" s="7">
        <f t="shared" si="5"/>
        <v>0.68871780185440967</v>
      </c>
      <c r="Q29">
        <f t="shared" si="6"/>
        <v>3750</v>
      </c>
      <c r="R29">
        <f t="shared" si="7"/>
        <v>38</v>
      </c>
      <c r="S29" t="e">
        <f t="shared" si="8"/>
        <v>#VALUE!</v>
      </c>
    </row>
    <row r="30" spans="1:19" ht="16" hidden="1" thickBot="1" x14ac:dyDescent="0.25">
      <c r="A30" t="s">
        <v>154</v>
      </c>
      <c r="B30" s="2" t="s">
        <v>324</v>
      </c>
      <c r="C30">
        <v>176</v>
      </c>
      <c r="D30" s="2" t="s">
        <v>324</v>
      </c>
      <c r="E30">
        <v>345</v>
      </c>
      <c r="F30" s="1">
        <v>0.49</v>
      </c>
      <c r="I30" t="e">
        <f t="shared" si="0"/>
        <v>#VALUE!</v>
      </c>
      <c r="J30" s="3">
        <f t="shared" si="1"/>
        <v>169</v>
      </c>
      <c r="K30" t="e">
        <f t="shared" si="2"/>
        <v>#VALUE!</v>
      </c>
      <c r="L30" s="4">
        <f t="shared" si="3"/>
        <v>0.51014492753623186</v>
      </c>
      <c r="M30" t="str">
        <f t="shared" si="4"/>
        <v>High Discount</v>
      </c>
      <c r="P30" s="7">
        <f t="shared" si="5"/>
        <v>0.63754260075572411</v>
      </c>
      <c r="Q30">
        <f t="shared" si="6"/>
        <v>3750</v>
      </c>
      <c r="R30">
        <f t="shared" si="7"/>
        <v>38</v>
      </c>
      <c r="S30" t="e">
        <f t="shared" si="8"/>
        <v>#VALUE!</v>
      </c>
    </row>
    <row r="31" spans="1:19" ht="16" hidden="1" thickBot="1" x14ac:dyDescent="0.25">
      <c r="A31" t="s">
        <v>256</v>
      </c>
      <c r="B31" s="2" t="s">
        <v>324</v>
      </c>
      <c r="C31" s="3">
        <v>1466</v>
      </c>
      <c r="D31" s="2" t="s">
        <v>324</v>
      </c>
      <c r="E31" s="3">
        <v>1699</v>
      </c>
      <c r="F31" s="1">
        <v>0.14000000000000001</v>
      </c>
      <c r="I31" t="e">
        <f t="shared" si="0"/>
        <v>#VALUE!</v>
      </c>
      <c r="J31" s="3">
        <f t="shared" si="1"/>
        <v>233</v>
      </c>
      <c r="K31" t="e">
        <f t="shared" si="2"/>
        <v>#VALUE!</v>
      </c>
      <c r="L31" s="4">
        <f t="shared" si="3"/>
        <v>0.8628605061801059</v>
      </c>
      <c r="M31" t="str">
        <f t="shared" si="4"/>
        <v>High Discount</v>
      </c>
      <c r="P31" s="7">
        <f t="shared" si="5"/>
        <v>0.63919316436280971</v>
      </c>
      <c r="Q31">
        <f t="shared" si="6"/>
        <v>3750</v>
      </c>
      <c r="R31">
        <f t="shared" si="7"/>
        <v>38</v>
      </c>
      <c r="S31" t="e">
        <f t="shared" si="8"/>
        <v>#VALUE!</v>
      </c>
    </row>
    <row r="32" spans="1:19" ht="16" hidden="1" thickBot="1" x14ac:dyDescent="0.25">
      <c r="A32" t="s">
        <v>258</v>
      </c>
      <c r="B32" s="2" t="s">
        <v>324</v>
      </c>
      <c r="C32">
        <v>274</v>
      </c>
      <c r="D32" s="2" t="s">
        <v>324</v>
      </c>
      <c r="E32">
        <v>537</v>
      </c>
      <c r="F32" s="1">
        <v>0.49</v>
      </c>
      <c r="I32" t="e">
        <f t="shared" si="0"/>
        <v>#VALUE!</v>
      </c>
      <c r="J32" s="3">
        <f t="shared" si="1"/>
        <v>263</v>
      </c>
      <c r="K32" t="e">
        <f t="shared" si="2"/>
        <v>#VALUE!</v>
      </c>
      <c r="L32" s="4">
        <f t="shared" si="3"/>
        <v>0.51024208566108009</v>
      </c>
      <c r="M32" t="str">
        <f t="shared" si="4"/>
        <v>High Discount</v>
      </c>
      <c r="P32" s="7">
        <f t="shared" si="5"/>
        <v>0.60211252869476961</v>
      </c>
      <c r="Q32">
        <f t="shared" si="6"/>
        <v>3750</v>
      </c>
      <c r="R32">
        <f t="shared" si="7"/>
        <v>38</v>
      </c>
      <c r="S32" t="e">
        <f t="shared" si="8"/>
        <v>#VALUE!</v>
      </c>
    </row>
    <row r="33" spans="1:19" ht="16" hidden="1" thickBot="1" x14ac:dyDescent="0.25">
      <c r="A33" t="s">
        <v>261</v>
      </c>
      <c r="B33" s="2" t="s">
        <v>324</v>
      </c>
      <c r="C33">
        <v>799</v>
      </c>
      <c r="D33" s="2" t="s">
        <v>324</v>
      </c>
      <c r="E33">
        <v>900</v>
      </c>
      <c r="F33" s="1">
        <v>0.11</v>
      </c>
      <c r="I33" t="e">
        <f t="shared" si="0"/>
        <v>#VALUE!</v>
      </c>
      <c r="J33" s="3">
        <f t="shared" si="1"/>
        <v>101</v>
      </c>
      <c r="K33" t="e">
        <f t="shared" si="2"/>
        <v>#VALUE!</v>
      </c>
      <c r="L33" s="4">
        <f t="shared" si="3"/>
        <v>0.88777777777777778</v>
      </c>
      <c r="M33" t="str">
        <f t="shared" si="4"/>
        <v>High Discount</v>
      </c>
      <c r="P33" s="7">
        <f t="shared" si="5"/>
        <v>0.60097451917687184</v>
      </c>
      <c r="Q33">
        <f t="shared" si="6"/>
        <v>3750</v>
      </c>
      <c r="R33">
        <f t="shared" si="7"/>
        <v>38</v>
      </c>
      <c r="S33" t="e">
        <f t="shared" si="8"/>
        <v>#VALUE!</v>
      </c>
    </row>
    <row r="34" spans="1:19" ht="16" hidden="1" thickBot="1" x14ac:dyDescent="0.25">
      <c r="A34" t="s">
        <v>175</v>
      </c>
      <c r="B34" s="2" t="s">
        <v>324</v>
      </c>
      <c r="C34">
        <v>657</v>
      </c>
      <c r="D34" s="2" t="s">
        <v>324</v>
      </c>
      <c r="E34" s="3">
        <v>1288</v>
      </c>
      <c r="F34" s="1">
        <v>0.49</v>
      </c>
      <c r="I34" t="e">
        <f t="shared" ref="I34:I65" si="9">VALUE(LEFT(H34, FIND(" ", H34)-1))</f>
        <v>#VALUE!</v>
      </c>
      <c r="J34" s="3">
        <f t="shared" ref="J34:J65" si="10">E34-C34</f>
        <v>631</v>
      </c>
      <c r="K34" t="e">
        <f t="shared" ref="K34:K65" si="11">IF(I34&lt;3,"Poor",IF(I34&lt;4.5,"Average","Excellent"))</f>
        <v>#VALUE!</v>
      </c>
      <c r="L34" s="4">
        <f t="shared" ref="L34:L65" si="12">C34/E34</f>
        <v>0.5100931677018633</v>
      </c>
      <c r="M34" t="str">
        <f t="shared" ref="M34:M65" si="13">IF(L34&lt;20%,"Low Discount",IF(L34&lt;=40%,"Medium Discount","High Discount"))</f>
        <v>High Discount</v>
      </c>
      <c r="P34" s="7">
        <f t="shared" ref="P34:P65" si="14">AVERAGE(L34:L42)</f>
        <v>0.60447444480531154</v>
      </c>
      <c r="Q34">
        <f t="shared" ref="Q34:Q65" si="15">MAX(C34:C145)</f>
        <v>3750</v>
      </c>
      <c r="R34">
        <f t="shared" ref="R34:R65" si="16">MIN(C34:C145)</f>
        <v>38</v>
      </c>
      <c r="S34" t="e">
        <f t="shared" ref="S34:S65" si="17">CORREL(L34:L145,G34:G145)</f>
        <v>#VALUE!</v>
      </c>
    </row>
    <row r="35" spans="1:19" ht="16" hidden="1" thickBot="1" x14ac:dyDescent="0.25">
      <c r="A35" t="s">
        <v>264</v>
      </c>
      <c r="B35" s="2" t="s">
        <v>324</v>
      </c>
      <c r="C35" s="3">
        <v>1468</v>
      </c>
      <c r="D35" s="2" t="s">
        <v>324</v>
      </c>
      <c r="E35" s="3">
        <v>1699</v>
      </c>
      <c r="F35" s="1">
        <v>0.14000000000000001</v>
      </c>
      <c r="I35" t="e">
        <f t="shared" si="9"/>
        <v>#VALUE!</v>
      </c>
      <c r="J35" s="3">
        <f t="shared" si="10"/>
        <v>231</v>
      </c>
      <c r="K35" t="e">
        <f t="shared" si="11"/>
        <v>#VALUE!</v>
      </c>
      <c r="L35" s="4">
        <f t="shared" si="12"/>
        <v>0.86403766921718661</v>
      </c>
      <c r="M35" t="str">
        <f t="shared" si="13"/>
        <v>High Discount</v>
      </c>
      <c r="P35" s="7">
        <f t="shared" si="14"/>
        <v>0.6561659681627281</v>
      </c>
      <c r="Q35">
        <f t="shared" si="15"/>
        <v>3750</v>
      </c>
      <c r="R35">
        <f t="shared" si="16"/>
        <v>38</v>
      </c>
      <c r="S35" t="e">
        <f t="shared" si="17"/>
        <v>#VALUE!</v>
      </c>
    </row>
    <row r="36" spans="1:19" ht="16" hidden="1" thickBot="1" x14ac:dyDescent="0.25">
      <c r="A36" t="s">
        <v>266</v>
      </c>
      <c r="B36" s="2" t="s">
        <v>324</v>
      </c>
      <c r="C36">
        <v>630</v>
      </c>
      <c r="D36" s="2" t="s">
        <v>324</v>
      </c>
      <c r="E36" s="3">
        <v>1100</v>
      </c>
      <c r="F36" s="1">
        <v>0.43</v>
      </c>
      <c r="I36" t="e">
        <f t="shared" si="9"/>
        <v>#VALUE!</v>
      </c>
      <c r="J36" s="3">
        <f t="shared" si="10"/>
        <v>470</v>
      </c>
      <c r="K36" t="e">
        <f t="shared" si="11"/>
        <v>#VALUE!</v>
      </c>
      <c r="L36" s="4">
        <f t="shared" si="12"/>
        <v>0.57272727272727275</v>
      </c>
      <c r="M36" t="str">
        <f t="shared" si="13"/>
        <v>High Discount</v>
      </c>
      <c r="P36" s="7">
        <f t="shared" si="14"/>
        <v>0.61686045667677636</v>
      </c>
      <c r="Q36">
        <f t="shared" si="15"/>
        <v>3750</v>
      </c>
      <c r="R36">
        <f t="shared" si="16"/>
        <v>38</v>
      </c>
      <c r="S36" t="e">
        <f t="shared" si="17"/>
        <v>#VALUE!</v>
      </c>
    </row>
    <row r="37" spans="1:19" ht="16" hidden="1" thickBot="1" x14ac:dyDescent="0.25">
      <c r="A37" t="s">
        <v>269</v>
      </c>
      <c r="B37" s="2" t="s">
        <v>324</v>
      </c>
      <c r="C37">
        <v>850</v>
      </c>
      <c r="D37" s="2" t="s">
        <v>324</v>
      </c>
      <c r="E37" s="3">
        <v>1700</v>
      </c>
      <c r="F37" s="1">
        <v>0.5</v>
      </c>
      <c r="I37" t="e">
        <f t="shared" si="9"/>
        <v>#VALUE!</v>
      </c>
      <c r="J37" s="3">
        <f t="shared" si="10"/>
        <v>850</v>
      </c>
      <c r="K37" t="e">
        <f t="shared" si="11"/>
        <v>#VALUE!</v>
      </c>
      <c r="L37" s="4">
        <f t="shared" si="12"/>
        <v>0.5</v>
      </c>
      <c r="M37" t="str">
        <f t="shared" si="13"/>
        <v>High Discount</v>
      </c>
      <c r="P37" s="7">
        <f t="shared" si="14"/>
        <v>0.65973936743889883</v>
      </c>
      <c r="Q37">
        <f t="shared" si="15"/>
        <v>3750</v>
      </c>
      <c r="R37">
        <f t="shared" si="16"/>
        <v>38</v>
      </c>
      <c r="S37" t="e">
        <f t="shared" si="17"/>
        <v>#VALUE!</v>
      </c>
    </row>
    <row r="38" spans="1:19" ht="16" hidden="1" thickBot="1" x14ac:dyDescent="0.25">
      <c r="A38" t="s">
        <v>272</v>
      </c>
      <c r="B38" s="2" t="s">
        <v>324</v>
      </c>
      <c r="C38" s="3">
        <v>1300</v>
      </c>
      <c r="D38" s="2" t="s">
        <v>324</v>
      </c>
      <c r="E38" s="3">
        <v>2500</v>
      </c>
      <c r="F38" s="1">
        <v>0.48</v>
      </c>
      <c r="I38" t="e">
        <f t="shared" si="9"/>
        <v>#VALUE!</v>
      </c>
      <c r="J38" s="3">
        <f t="shared" si="10"/>
        <v>1200</v>
      </c>
      <c r="K38" t="e">
        <f t="shared" si="11"/>
        <v>#VALUE!</v>
      </c>
      <c r="L38" s="4">
        <f t="shared" si="12"/>
        <v>0.52</v>
      </c>
      <c r="M38" t="str">
        <f t="shared" si="13"/>
        <v>High Discount</v>
      </c>
      <c r="P38" s="7">
        <f t="shared" si="14"/>
        <v>0.66087315428697146</v>
      </c>
      <c r="Q38">
        <f t="shared" si="15"/>
        <v>3750</v>
      </c>
      <c r="R38">
        <f t="shared" si="16"/>
        <v>38</v>
      </c>
      <c r="S38" t="e">
        <f t="shared" si="17"/>
        <v>#VALUE!</v>
      </c>
    </row>
    <row r="39" spans="1:19" ht="16" hidden="1" thickBot="1" x14ac:dyDescent="0.25">
      <c r="A39" t="s">
        <v>274</v>
      </c>
      <c r="B39" s="2" t="s">
        <v>324</v>
      </c>
      <c r="C39">
        <v>105</v>
      </c>
      <c r="D39" s="2" t="s">
        <v>324</v>
      </c>
      <c r="E39">
        <v>200</v>
      </c>
      <c r="F39" s="1">
        <v>0.48</v>
      </c>
      <c r="I39" t="e">
        <f t="shared" si="9"/>
        <v>#VALUE!</v>
      </c>
      <c r="J39" s="3">
        <f t="shared" si="10"/>
        <v>95</v>
      </c>
      <c r="K39" t="e">
        <f t="shared" si="11"/>
        <v>#VALUE!</v>
      </c>
      <c r="L39" s="4">
        <f t="shared" si="12"/>
        <v>0.52500000000000002</v>
      </c>
      <c r="M39" t="str">
        <f t="shared" si="13"/>
        <v>High Discount</v>
      </c>
      <c r="P39" s="7">
        <f t="shared" si="14"/>
        <v>0.66712952805668557</v>
      </c>
      <c r="Q39">
        <f t="shared" si="15"/>
        <v>3750</v>
      </c>
      <c r="R39">
        <f t="shared" si="16"/>
        <v>38</v>
      </c>
      <c r="S39" t="e">
        <f t="shared" si="17"/>
        <v>#VALUE!</v>
      </c>
    </row>
    <row r="40" spans="1:19" ht="16" hidden="1" thickBot="1" x14ac:dyDescent="0.25">
      <c r="A40" t="s">
        <v>277</v>
      </c>
      <c r="B40" s="2" t="s">
        <v>324</v>
      </c>
      <c r="C40">
        <v>899</v>
      </c>
      <c r="D40" s="2" t="s">
        <v>324</v>
      </c>
      <c r="E40" s="3">
        <v>1699</v>
      </c>
      <c r="F40" s="1">
        <v>0.47</v>
      </c>
      <c r="I40" t="e">
        <f t="shared" si="9"/>
        <v>#VALUE!</v>
      </c>
      <c r="J40" s="3">
        <f t="shared" si="10"/>
        <v>800</v>
      </c>
      <c r="K40" t="e">
        <f t="shared" si="11"/>
        <v>#VALUE!</v>
      </c>
      <c r="L40" s="4">
        <f t="shared" si="12"/>
        <v>0.5291347851677457</v>
      </c>
      <c r="M40" t="str">
        <f t="shared" si="13"/>
        <v>High Discount</v>
      </c>
      <c r="P40" s="7">
        <f t="shared" si="14"/>
        <v>0.67399362355714465</v>
      </c>
      <c r="Q40">
        <f t="shared" si="15"/>
        <v>3750</v>
      </c>
      <c r="R40">
        <f t="shared" si="16"/>
        <v>38</v>
      </c>
      <c r="S40" t="e">
        <f t="shared" si="17"/>
        <v>#VALUE!</v>
      </c>
    </row>
    <row r="41" spans="1:19" ht="16" hidden="1" thickBot="1" x14ac:dyDescent="0.25">
      <c r="A41" t="s">
        <v>278</v>
      </c>
      <c r="B41" s="2" t="s">
        <v>324</v>
      </c>
      <c r="C41" s="3">
        <v>1200</v>
      </c>
      <c r="D41" s="2" t="s">
        <v>324</v>
      </c>
      <c r="E41" s="3">
        <v>2400</v>
      </c>
      <c r="F41" s="1">
        <v>0.5</v>
      </c>
      <c r="I41" t="e">
        <f t="shared" si="9"/>
        <v>#VALUE!</v>
      </c>
      <c r="J41" s="3">
        <f t="shared" si="10"/>
        <v>1200</v>
      </c>
      <c r="K41" t="e">
        <f t="shared" si="11"/>
        <v>#VALUE!</v>
      </c>
      <c r="L41" s="4">
        <f t="shared" si="12"/>
        <v>0.5</v>
      </c>
      <c r="M41" t="str">
        <f t="shared" si="13"/>
        <v>High Discount</v>
      </c>
      <c r="P41" s="7">
        <f t="shared" si="14"/>
        <v>0.72490773291098298</v>
      </c>
      <c r="Q41">
        <f t="shared" si="15"/>
        <v>3750</v>
      </c>
      <c r="R41">
        <f t="shared" si="16"/>
        <v>38</v>
      </c>
      <c r="S41" t="e">
        <f t="shared" si="17"/>
        <v>#VALUE!</v>
      </c>
    </row>
    <row r="42" spans="1:19" ht="16" hidden="1" thickBot="1" x14ac:dyDescent="0.25">
      <c r="A42" t="s">
        <v>280</v>
      </c>
      <c r="B42" s="2" t="s">
        <v>324</v>
      </c>
      <c r="C42" s="3">
        <v>1526</v>
      </c>
      <c r="D42" s="2" t="s">
        <v>324</v>
      </c>
      <c r="E42" s="3">
        <v>1660</v>
      </c>
      <c r="F42" s="1">
        <v>0.08</v>
      </c>
      <c r="I42" t="e">
        <f t="shared" si="9"/>
        <v>#VALUE!</v>
      </c>
      <c r="J42" s="3">
        <f t="shared" si="10"/>
        <v>134</v>
      </c>
      <c r="K42" t="e">
        <f t="shared" si="11"/>
        <v>#VALUE!</v>
      </c>
      <c r="L42" s="4">
        <f t="shared" si="12"/>
        <v>0.91927710843373489</v>
      </c>
      <c r="M42" t="str">
        <f t="shared" si="13"/>
        <v>High Discount</v>
      </c>
      <c r="P42" s="7">
        <f t="shared" si="14"/>
        <v>0.75396756197081205</v>
      </c>
      <c r="Q42">
        <f t="shared" si="15"/>
        <v>3750</v>
      </c>
      <c r="R42">
        <f t="shared" si="16"/>
        <v>38</v>
      </c>
      <c r="S42" t="e">
        <f t="shared" si="17"/>
        <v>#VALUE!</v>
      </c>
    </row>
    <row r="43" spans="1:19" ht="16" hidden="1" thickBot="1" x14ac:dyDescent="0.25">
      <c r="A43" t="s">
        <v>282</v>
      </c>
      <c r="B43" s="2" t="s">
        <v>324</v>
      </c>
      <c r="C43" s="3">
        <v>1462</v>
      </c>
      <c r="D43" s="2" t="s">
        <v>324</v>
      </c>
      <c r="E43" s="3">
        <v>1499</v>
      </c>
      <c r="F43" s="1">
        <v>0.02</v>
      </c>
      <c r="I43" t="e">
        <f t="shared" si="9"/>
        <v>#VALUE!</v>
      </c>
      <c r="J43" s="3">
        <f t="shared" si="10"/>
        <v>37</v>
      </c>
      <c r="K43" t="e">
        <f t="shared" si="11"/>
        <v>#VALUE!</v>
      </c>
      <c r="L43" s="4">
        <f t="shared" si="12"/>
        <v>0.97531687791861243</v>
      </c>
      <c r="M43" t="str">
        <f t="shared" si="13"/>
        <v>High Discount</v>
      </c>
      <c r="P43" s="7">
        <f t="shared" si="14"/>
        <v>0.72538799711765556</v>
      </c>
      <c r="Q43">
        <f t="shared" si="15"/>
        <v>3750</v>
      </c>
      <c r="R43">
        <f t="shared" si="16"/>
        <v>38</v>
      </c>
      <c r="S43" t="e">
        <f t="shared" si="17"/>
        <v>#VALUE!</v>
      </c>
    </row>
    <row r="44" spans="1:19" ht="16" hidden="1" thickBot="1" x14ac:dyDescent="0.25">
      <c r="A44" t="s">
        <v>284</v>
      </c>
      <c r="B44" s="2" t="s">
        <v>324</v>
      </c>
      <c r="C44">
        <v>248</v>
      </c>
      <c r="D44" s="2" t="s">
        <v>324</v>
      </c>
      <c r="E44">
        <v>486</v>
      </c>
      <c r="F44" s="1">
        <v>0.49</v>
      </c>
      <c r="I44" t="e">
        <f t="shared" si="9"/>
        <v>#VALUE!</v>
      </c>
      <c r="J44" s="3">
        <f t="shared" si="10"/>
        <v>238</v>
      </c>
      <c r="K44" t="e">
        <f t="shared" si="11"/>
        <v>#VALUE!</v>
      </c>
      <c r="L44" s="4">
        <f t="shared" si="12"/>
        <v>0.51028806584362141</v>
      </c>
      <c r="M44" t="str">
        <f t="shared" si="13"/>
        <v>High Discount</v>
      </c>
      <c r="P44" s="7">
        <f t="shared" si="14"/>
        <v>0.69007040663068875</v>
      </c>
      <c r="Q44">
        <f t="shared" si="15"/>
        <v>3750</v>
      </c>
      <c r="R44">
        <f t="shared" si="16"/>
        <v>38</v>
      </c>
      <c r="S44" t="e">
        <f t="shared" si="17"/>
        <v>#VALUE!</v>
      </c>
    </row>
    <row r="45" spans="1:19" ht="16" hidden="1" thickBot="1" x14ac:dyDescent="0.25">
      <c r="A45" t="s">
        <v>287</v>
      </c>
      <c r="B45" s="2" t="s">
        <v>324</v>
      </c>
      <c r="C45" s="3">
        <v>3546</v>
      </c>
      <c r="D45" s="2" t="s">
        <v>324</v>
      </c>
      <c r="E45" s="3">
        <v>3699</v>
      </c>
      <c r="F45" s="1">
        <v>0.04</v>
      </c>
      <c r="I45" t="e">
        <f t="shared" si="9"/>
        <v>#VALUE!</v>
      </c>
      <c r="J45" s="3">
        <f t="shared" si="10"/>
        <v>153</v>
      </c>
      <c r="K45" t="e">
        <f t="shared" si="11"/>
        <v>#VALUE!</v>
      </c>
      <c r="L45" s="4">
        <f t="shared" si="12"/>
        <v>0.95863746958637475</v>
      </c>
      <c r="M45" t="str">
        <f t="shared" si="13"/>
        <v>High Discount</v>
      </c>
      <c r="P45" s="7">
        <f t="shared" si="14"/>
        <v>0.74180152795249166</v>
      </c>
      <c r="Q45">
        <f t="shared" si="15"/>
        <v>3750</v>
      </c>
      <c r="R45">
        <f t="shared" si="16"/>
        <v>38</v>
      </c>
      <c r="S45" t="e">
        <f t="shared" si="17"/>
        <v>#VALUE!</v>
      </c>
    </row>
    <row r="46" spans="1:19" ht="16" hidden="1" thickBot="1" x14ac:dyDescent="0.25">
      <c r="A46" t="s">
        <v>289</v>
      </c>
      <c r="B46" s="2" t="s">
        <v>324</v>
      </c>
      <c r="C46">
        <v>525</v>
      </c>
      <c r="D46" s="2" t="s">
        <v>324</v>
      </c>
      <c r="E46" s="3">
        <v>1029</v>
      </c>
      <c r="F46" s="1">
        <v>0.49</v>
      </c>
      <c r="I46" t="e">
        <f t="shared" si="9"/>
        <v>#VALUE!</v>
      </c>
      <c r="J46" s="3">
        <f t="shared" si="10"/>
        <v>504</v>
      </c>
      <c r="K46" t="e">
        <f t="shared" si="11"/>
        <v>#VALUE!</v>
      </c>
      <c r="L46" s="4">
        <f t="shared" si="12"/>
        <v>0.51020408163265307</v>
      </c>
      <c r="M46" t="str">
        <f t="shared" si="13"/>
        <v>High Discount</v>
      </c>
      <c r="P46" s="7">
        <f t="shared" si="14"/>
        <v>0.74448272072712629</v>
      </c>
      <c r="Q46">
        <f t="shared" si="15"/>
        <v>3750</v>
      </c>
      <c r="R46">
        <f t="shared" si="16"/>
        <v>38</v>
      </c>
      <c r="S46" t="e">
        <f t="shared" si="17"/>
        <v>#VALUE!</v>
      </c>
    </row>
    <row r="47" spans="1:19" ht="16" hidden="1" thickBot="1" x14ac:dyDescent="0.25">
      <c r="A47" t="s">
        <v>292</v>
      </c>
      <c r="B47" s="2" t="s">
        <v>324</v>
      </c>
      <c r="C47" s="3">
        <v>1080</v>
      </c>
      <c r="D47" s="2" t="s">
        <v>324</v>
      </c>
      <c r="E47" s="3">
        <v>1874</v>
      </c>
      <c r="F47" s="1">
        <v>0.42</v>
      </c>
      <c r="I47" t="e">
        <f t="shared" si="9"/>
        <v>#VALUE!</v>
      </c>
      <c r="J47" s="3">
        <f t="shared" si="10"/>
        <v>794</v>
      </c>
      <c r="K47" t="e">
        <f t="shared" si="11"/>
        <v>#VALUE!</v>
      </c>
      <c r="L47" s="4">
        <f t="shared" si="12"/>
        <v>0.57630736392742798</v>
      </c>
      <c r="M47" t="str">
        <f t="shared" si="13"/>
        <v>High Discount</v>
      </c>
      <c r="P47" s="7">
        <f t="shared" si="14"/>
        <v>0.72777730438337374</v>
      </c>
      <c r="Q47">
        <f t="shared" si="15"/>
        <v>3750</v>
      </c>
      <c r="R47">
        <f t="shared" si="16"/>
        <v>38</v>
      </c>
      <c r="S47" t="e">
        <f t="shared" si="17"/>
        <v>#VALUE!</v>
      </c>
    </row>
    <row r="48" spans="1:19" ht="16" hidden="1" thickBot="1" x14ac:dyDescent="0.25">
      <c r="A48" t="s">
        <v>298</v>
      </c>
      <c r="B48" s="2" t="s">
        <v>324</v>
      </c>
      <c r="C48" s="3">
        <v>1420</v>
      </c>
      <c r="D48" s="2" t="s">
        <v>324</v>
      </c>
      <c r="E48" s="3">
        <v>2420</v>
      </c>
      <c r="F48" s="1">
        <v>0.41</v>
      </c>
      <c r="I48" t="e">
        <f t="shared" si="9"/>
        <v>#VALUE!</v>
      </c>
      <c r="J48" s="3">
        <f t="shared" si="10"/>
        <v>1000</v>
      </c>
      <c r="K48" t="e">
        <f t="shared" si="11"/>
        <v>#VALUE!</v>
      </c>
      <c r="L48" s="4">
        <f t="shared" si="12"/>
        <v>0.58677685950413228</v>
      </c>
      <c r="M48" t="str">
        <f t="shared" si="13"/>
        <v>High Discount</v>
      </c>
      <c r="P48" s="7">
        <f t="shared" si="14"/>
        <v>0.72242370839143732</v>
      </c>
      <c r="Q48">
        <f t="shared" si="15"/>
        <v>3750</v>
      </c>
      <c r="R48">
        <f t="shared" si="16"/>
        <v>38</v>
      </c>
      <c r="S48" t="e">
        <f t="shared" si="17"/>
        <v>#VALUE!</v>
      </c>
    </row>
    <row r="49" spans="1:19" ht="16" hidden="1" thickBot="1" x14ac:dyDescent="0.25">
      <c r="A49" t="s">
        <v>301</v>
      </c>
      <c r="B49" s="2" t="s">
        <v>324</v>
      </c>
      <c r="C49" s="3">
        <v>1875</v>
      </c>
      <c r="D49" s="2" t="s">
        <v>324</v>
      </c>
      <c r="E49" s="3">
        <v>1899</v>
      </c>
      <c r="F49" s="1">
        <v>0.01</v>
      </c>
      <c r="I49" t="e">
        <f t="shared" si="9"/>
        <v>#VALUE!</v>
      </c>
      <c r="J49" s="3">
        <f t="shared" si="10"/>
        <v>24</v>
      </c>
      <c r="K49" t="e">
        <f t="shared" si="11"/>
        <v>#VALUE!</v>
      </c>
      <c r="L49" s="4">
        <f t="shared" si="12"/>
        <v>0.9873617693522907</v>
      </c>
      <c r="M49" t="str">
        <f t="shared" si="13"/>
        <v>High Discount</v>
      </c>
      <c r="P49" s="7">
        <f t="shared" si="14"/>
        <v>0.71115740366420743</v>
      </c>
      <c r="Q49">
        <f t="shared" si="15"/>
        <v>3750</v>
      </c>
      <c r="R49">
        <f t="shared" si="16"/>
        <v>38</v>
      </c>
      <c r="S49" t="e">
        <f t="shared" si="17"/>
        <v>#VALUE!</v>
      </c>
    </row>
    <row r="50" spans="1:19" ht="16" hidden="1" thickBot="1" x14ac:dyDescent="0.25">
      <c r="A50" t="s">
        <v>304</v>
      </c>
      <c r="B50" s="2" t="s">
        <v>324</v>
      </c>
      <c r="C50">
        <v>198</v>
      </c>
      <c r="D50" s="2" t="s">
        <v>324</v>
      </c>
      <c r="E50">
        <v>260</v>
      </c>
      <c r="F50" s="1">
        <v>0.24</v>
      </c>
      <c r="I50" t="e">
        <f t="shared" si="9"/>
        <v>#VALUE!</v>
      </c>
      <c r="J50" s="3">
        <f t="shared" si="10"/>
        <v>62</v>
      </c>
      <c r="K50" t="e">
        <f t="shared" si="11"/>
        <v>#VALUE!</v>
      </c>
      <c r="L50" s="4">
        <f t="shared" si="12"/>
        <v>0.7615384615384615</v>
      </c>
      <c r="M50" t="str">
        <f t="shared" si="13"/>
        <v>High Discount</v>
      </c>
      <c r="P50" s="7">
        <f t="shared" si="14"/>
        <v>0.66163572558802697</v>
      </c>
      <c r="Q50">
        <f t="shared" si="15"/>
        <v>3750</v>
      </c>
      <c r="R50">
        <f t="shared" si="16"/>
        <v>38</v>
      </c>
      <c r="S50" t="e">
        <f t="shared" si="17"/>
        <v>#VALUE!</v>
      </c>
    </row>
    <row r="51" spans="1:19" ht="16" hidden="1" thickBot="1" x14ac:dyDescent="0.25">
      <c r="A51" t="s">
        <v>307</v>
      </c>
      <c r="B51" s="2" t="s">
        <v>324</v>
      </c>
      <c r="C51" s="3">
        <v>1150</v>
      </c>
      <c r="D51" s="2" t="s">
        <v>324</v>
      </c>
      <c r="E51" s="3">
        <v>1737</v>
      </c>
      <c r="F51" s="1">
        <v>0.34</v>
      </c>
      <c r="I51" t="e">
        <f t="shared" si="9"/>
        <v>#VALUE!</v>
      </c>
      <c r="J51" s="3">
        <f t="shared" si="10"/>
        <v>587</v>
      </c>
      <c r="K51" t="e">
        <f t="shared" si="11"/>
        <v>#VALUE!</v>
      </c>
      <c r="L51" s="4">
        <f t="shared" si="12"/>
        <v>0.66206102475532524</v>
      </c>
      <c r="M51" t="str">
        <f t="shared" si="13"/>
        <v>High Discount</v>
      </c>
      <c r="P51" s="7">
        <f t="shared" si="14"/>
        <v>0.63368113170545526</v>
      </c>
      <c r="Q51">
        <f t="shared" si="15"/>
        <v>3750</v>
      </c>
      <c r="R51">
        <f t="shared" si="16"/>
        <v>38</v>
      </c>
      <c r="S51" t="e">
        <f t="shared" si="17"/>
        <v>#VALUE!</v>
      </c>
    </row>
    <row r="52" spans="1:19" ht="16" hidden="1" thickBot="1" x14ac:dyDescent="0.25">
      <c r="A52" t="s">
        <v>310</v>
      </c>
      <c r="B52" s="2" t="s">
        <v>324</v>
      </c>
      <c r="C52" s="3">
        <v>1190</v>
      </c>
      <c r="D52" s="2" t="s">
        <v>324</v>
      </c>
      <c r="E52" s="3">
        <v>1810</v>
      </c>
      <c r="F52" s="1">
        <v>0.34</v>
      </c>
      <c r="I52" t="e">
        <f t="shared" si="9"/>
        <v>#VALUE!</v>
      </c>
      <c r="J52" s="3">
        <f t="shared" si="10"/>
        <v>620</v>
      </c>
      <c r="K52" t="e">
        <f t="shared" si="11"/>
        <v>#VALUE!</v>
      </c>
      <c r="L52" s="4">
        <f t="shared" si="12"/>
        <v>0.65745856353591159</v>
      </c>
      <c r="M52" t="str">
        <f t="shared" si="13"/>
        <v>High Discount</v>
      </c>
      <c r="P52" s="7">
        <f t="shared" si="14"/>
        <v>0.62703329376279415</v>
      </c>
      <c r="Q52">
        <f t="shared" si="15"/>
        <v>3750</v>
      </c>
      <c r="R52">
        <f t="shared" si="16"/>
        <v>38</v>
      </c>
      <c r="S52" t="e">
        <f t="shared" si="17"/>
        <v>#VALUE!</v>
      </c>
    </row>
    <row r="53" spans="1:19" ht="16" hidden="1" thickBot="1" x14ac:dyDescent="0.25">
      <c r="A53" t="s">
        <v>312</v>
      </c>
      <c r="B53" s="2" t="s">
        <v>324</v>
      </c>
      <c r="C53" s="3">
        <v>1658</v>
      </c>
      <c r="D53" s="2" t="s">
        <v>324</v>
      </c>
      <c r="E53" s="3">
        <v>1699</v>
      </c>
      <c r="F53" s="1">
        <v>0.02</v>
      </c>
      <c r="I53" t="e">
        <f t="shared" si="9"/>
        <v>#VALUE!</v>
      </c>
      <c r="J53" s="3">
        <f t="shared" si="10"/>
        <v>41</v>
      </c>
      <c r="K53" t="e">
        <f t="shared" si="11"/>
        <v>#VALUE!</v>
      </c>
      <c r="L53" s="4">
        <f t="shared" si="12"/>
        <v>0.97586815773984692</v>
      </c>
      <c r="M53" t="str">
        <f t="shared" si="13"/>
        <v>High Discount</v>
      </c>
      <c r="P53" s="7">
        <f t="shared" si="14"/>
        <v>0.60676012003658164</v>
      </c>
      <c r="Q53">
        <f t="shared" si="15"/>
        <v>3750</v>
      </c>
      <c r="R53">
        <f t="shared" si="16"/>
        <v>38</v>
      </c>
      <c r="S53" t="e">
        <f t="shared" si="17"/>
        <v>#VALUE!</v>
      </c>
    </row>
    <row r="54" spans="1:19" ht="16" hidden="1" thickBot="1" x14ac:dyDescent="0.25">
      <c r="A54" t="s">
        <v>314</v>
      </c>
      <c r="B54" s="2" t="s">
        <v>324</v>
      </c>
      <c r="C54" s="3">
        <v>1768</v>
      </c>
      <c r="D54" s="2" t="s">
        <v>324</v>
      </c>
      <c r="E54" s="3">
        <v>1799</v>
      </c>
      <c r="F54" s="1">
        <v>0.02</v>
      </c>
      <c r="I54" t="e">
        <f t="shared" si="9"/>
        <v>#VALUE!</v>
      </c>
      <c r="J54" s="3">
        <f t="shared" si="10"/>
        <v>31</v>
      </c>
      <c r="K54" t="e">
        <f t="shared" si="11"/>
        <v>#VALUE!</v>
      </c>
      <c r="L54" s="4">
        <f t="shared" si="12"/>
        <v>0.98276820455808778</v>
      </c>
      <c r="M54" t="str">
        <f t="shared" si="13"/>
        <v>High Discount</v>
      </c>
      <c r="P54" s="7">
        <f t="shared" si="14"/>
        <v>0.55498541732474693</v>
      </c>
      <c r="Q54">
        <f t="shared" si="15"/>
        <v>3750</v>
      </c>
      <c r="R54">
        <f t="shared" si="16"/>
        <v>38</v>
      </c>
      <c r="S54" t="e">
        <f t="shared" si="17"/>
        <v>#VALUE!</v>
      </c>
    </row>
    <row r="55" spans="1:19" ht="16" hidden="1" thickBot="1" x14ac:dyDescent="0.25">
      <c r="A55" t="s">
        <v>316</v>
      </c>
      <c r="B55" s="2" t="s">
        <v>324</v>
      </c>
      <c r="C55">
        <v>199</v>
      </c>
      <c r="D55" s="2" t="s">
        <v>324</v>
      </c>
      <c r="E55">
        <v>553</v>
      </c>
      <c r="F55" s="1">
        <v>0.64</v>
      </c>
      <c r="I55" t="e">
        <f t="shared" si="9"/>
        <v>#VALUE!</v>
      </c>
      <c r="J55" s="3">
        <f t="shared" si="10"/>
        <v>354</v>
      </c>
      <c r="K55" t="e">
        <f t="shared" si="11"/>
        <v>#VALUE!</v>
      </c>
      <c r="L55" s="4">
        <f t="shared" si="12"/>
        <v>0.35985533453887886</v>
      </c>
      <c r="M55" t="str">
        <f t="shared" si="13"/>
        <v>Medium Discount</v>
      </c>
      <c r="P55" s="7">
        <f t="shared" si="14"/>
        <v>0.53394161894945613</v>
      </c>
      <c r="Q55">
        <f t="shared" si="15"/>
        <v>3750</v>
      </c>
      <c r="R55">
        <f t="shared" si="16"/>
        <v>38</v>
      </c>
      <c r="S55" t="e">
        <f t="shared" si="17"/>
        <v>#VALUE!</v>
      </c>
    </row>
    <row r="56" spans="1:19" ht="16" hidden="1" thickBot="1" x14ac:dyDescent="0.25">
      <c r="A56" t="s">
        <v>320</v>
      </c>
      <c r="B56" s="2" t="s">
        <v>324</v>
      </c>
      <c r="C56">
        <v>169</v>
      </c>
      <c r="D56" s="2" t="s">
        <v>324</v>
      </c>
      <c r="E56">
        <v>320</v>
      </c>
      <c r="F56" s="1">
        <v>0.47</v>
      </c>
      <c r="I56" t="e">
        <f t="shared" si="9"/>
        <v>#VALUE!</v>
      </c>
      <c r="J56" s="3">
        <f t="shared" si="10"/>
        <v>151</v>
      </c>
      <c r="K56" t="e">
        <f t="shared" si="11"/>
        <v>#VALUE!</v>
      </c>
      <c r="L56" s="4">
        <f t="shared" si="12"/>
        <v>0.52812499999999996</v>
      </c>
      <c r="M56" t="str">
        <f t="shared" si="13"/>
        <v>High Discount</v>
      </c>
      <c r="P56" s="7">
        <f t="shared" si="14"/>
        <v>0.57601768157096167</v>
      </c>
      <c r="Q56">
        <f t="shared" si="15"/>
        <v>3750</v>
      </c>
      <c r="R56">
        <f t="shared" si="16"/>
        <v>38</v>
      </c>
      <c r="S56" t="e">
        <f t="shared" si="17"/>
        <v>#VALUE!</v>
      </c>
    </row>
    <row r="57" spans="1:19" x14ac:dyDescent="0.2">
      <c r="A57" s="32" t="s">
        <v>56</v>
      </c>
      <c r="B57" s="33" t="s">
        <v>324</v>
      </c>
      <c r="C57" s="34">
        <v>332</v>
      </c>
      <c r="D57" s="33" t="s">
        <v>324</v>
      </c>
      <c r="E57" s="34">
        <v>684</v>
      </c>
      <c r="F57" s="35">
        <v>0.51</v>
      </c>
      <c r="G57" s="34">
        <v>-2</v>
      </c>
      <c r="H57" s="34" t="s">
        <v>59</v>
      </c>
      <c r="I57" s="34">
        <f t="shared" si="9"/>
        <v>5</v>
      </c>
      <c r="J57" s="36">
        <f t="shared" si="10"/>
        <v>352</v>
      </c>
      <c r="K57" s="34" t="str">
        <f t="shared" si="11"/>
        <v>Excellent</v>
      </c>
      <c r="L57" s="37">
        <f t="shared" si="12"/>
        <v>0.4853801169590643</v>
      </c>
      <c r="M57" s="38" t="str">
        <f t="shared" si="13"/>
        <v>High Discount</v>
      </c>
      <c r="P57" s="7">
        <f t="shared" si="14"/>
        <v>0.56789268157096151</v>
      </c>
      <c r="Q57">
        <f t="shared" si="15"/>
        <v>3750</v>
      </c>
      <c r="R57">
        <f t="shared" si="16"/>
        <v>38</v>
      </c>
      <c r="S57" t="e">
        <f t="shared" si="17"/>
        <v>#VALUE!</v>
      </c>
    </row>
    <row r="58" spans="1:19" x14ac:dyDescent="0.2">
      <c r="A58" s="39" t="s">
        <v>60</v>
      </c>
      <c r="B58" s="40" t="s">
        <v>324</v>
      </c>
      <c r="C58" s="41">
        <v>195</v>
      </c>
      <c r="D58" s="40" t="s">
        <v>324</v>
      </c>
      <c r="E58" s="41">
        <v>360</v>
      </c>
      <c r="F58" s="42">
        <v>0.46</v>
      </c>
      <c r="G58" s="41">
        <v>-2</v>
      </c>
      <c r="H58" s="41" t="s">
        <v>59</v>
      </c>
      <c r="I58" s="41">
        <f t="shared" si="9"/>
        <v>5</v>
      </c>
      <c r="J58" s="43">
        <f t="shared" si="10"/>
        <v>165</v>
      </c>
      <c r="K58" s="41" t="str">
        <f t="shared" si="11"/>
        <v>Excellent</v>
      </c>
      <c r="L58" s="44">
        <f t="shared" si="12"/>
        <v>0.54166666666666663</v>
      </c>
      <c r="M58" s="45" t="str">
        <f t="shared" si="13"/>
        <v>High Discount</v>
      </c>
      <c r="P58" s="7">
        <f t="shared" si="14"/>
        <v>0.5732208167236581</v>
      </c>
      <c r="Q58">
        <f t="shared" si="15"/>
        <v>3750</v>
      </c>
      <c r="R58">
        <f t="shared" si="16"/>
        <v>38</v>
      </c>
      <c r="S58" t="e">
        <f t="shared" si="17"/>
        <v>#VALUE!</v>
      </c>
    </row>
    <row r="59" spans="1:19" x14ac:dyDescent="0.2">
      <c r="A59" s="39" t="s">
        <v>63</v>
      </c>
      <c r="B59" s="40" t="s">
        <v>324</v>
      </c>
      <c r="C59" s="43">
        <v>2025</v>
      </c>
      <c r="D59" s="40" t="s">
        <v>324</v>
      </c>
      <c r="E59" s="43">
        <v>3971</v>
      </c>
      <c r="F59" s="42">
        <v>0.49</v>
      </c>
      <c r="G59" s="41">
        <v>-3</v>
      </c>
      <c r="H59" s="41" t="s">
        <v>59</v>
      </c>
      <c r="I59" s="41">
        <f t="shared" si="9"/>
        <v>5</v>
      </c>
      <c r="J59" s="43">
        <f t="shared" si="10"/>
        <v>1946</v>
      </c>
      <c r="K59" s="41" t="str">
        <f t="shared" si="11"/>
        <v>Excellent</v>
      </c>
      <c r="L59" s="44">
        <f t="shared" si="12"/>
        <v>0.509947116595316</v>
      </c>
      <c r="M59" s="45" t="str">
        <f t="shared" si="13"/>
        <v>High Discount</v>
      </c>
      <c r="P59" s="7">
        <f t="shared" si="14"/>
        <v>0.58328595388963556</v>
      </c>
      <c r="Q59">
        <f t="shared" si="15"/>
        <v>3750</v>
      </c>
      <c r="R59">
        <f t="shared" si="16"/>
        <v>38</v>
      </c>
      <c r="S59" t="e">
        <f t="shared" si="17"/>
        <v>#VALUE!</v>
      </c>
    </row>
    <row r="60" spans="1:19" x14ac:dyDescent="0.2">
      <c r="A60" s="39" t="s">
        <v>117</v>
      </c>
      <c r="B60" s="40" t="s">
        <v>324</v>
      </c>
      <c r="C60" s="43">
        <v>1620</v>
      </c>
      <c r="D60" s="40" t="s">
        <v>324</v>
      </c>
      <c r="E60" s="43">
        <v>2690</v>
      </c>
      <c r="F60" s="42">
        <v>0.4</v>
      </c>
      <c r="G60" s="41">
        <v>-1</v>
      </c>
      <c r="H60" s="41" t="s">
        <v>59</v>
      </c>
      <c r="I60" s="41">
        <f t="shared" si="9"/>
        <v>5</v>
      </c>
      <c r="J60" s="43">
        <f t="shared" si="10"/>
        <v>1070</v>
      </c>
      <c r="K60" s="41" t="str">
        <f t="shared" si="11"/>
        <v>Excellent</v>
      </c>
      <c r="L60" s="44">
        <f t="shared" si="12"/>
        <v>0.60223048327137552</v>
      </c>
      <c r="M60" s="45" t="str">
        <f t="shared" si="13"/>
        <v>High Discount</v>
      </c>
      <c r="P60" s="7">
        <f t="shared" si="14"/>
        <v>0.59995849649015609</v>
      </c>
      <c r="Q60">
        <f t="shared" si="15"/>
        <v>3750</v>
      </c>
      <c r="R60">
        <f t="shared" si="16"/>
        <v>38</v>
      </c>
      <c r="S60" t="e">
        <f t="shared" si="17"/>
        <v>#VALUE!</v>
      </c>
    </row>
    <row r="61" spans="1:19" ht="16" thickBot="1" x14ac:dyDescent="0.25">
      <c r="A61" s="46" t="s">
        <v>120</v>
      </c>
      <c r="B61" s="47" t="s">
        <v>324</v>
      </c>
      <c r="C61" s="48">
        <v>171</v>
      </c>
      <c r="D61" s="47" t="s">
        <v>324</v>
      </c>
      <c r="E61" s="48">
        <v>360</v>
      </c>
      <c r="F61" s="49">
        <v>0.53</v>
      </c>
      <c r="G61" s="48">
        <v>-2</v>
      </c>
      <c r="H61" s="48" t="s">
        <v>59</v>
      </c>
      <c r="I61" s="48">
        <f t="shared" si="9"/>
        <v>5</v>
      </c>
      <c r="J61" s="50">
        <f t="shared" si="10"/>
        <v>189</v>
      </c>
      <c r="K61" s="48" t="str">
        <f t="shared" si="11"/>
        <v>Excellent</v>
      </c>
      <c r="L61" s="51">
        <f t="shared" si="12"/>
        <v>0.47499999999999998</v>
      </c>
      <c r="M61" s="52" t="str">
        <f t="shared" si="13"/>
        <v>High Discount</v>
      </c>
      <c r="P61" s="7">
        <f t="shared" si="14"/>
        <v>0.60612378954948865</v>
      </c>
      <c r="Q61">
        <f t="shared" si="15"/>
        <v>3750</v>
      </c>
      <c r="R61">
        <f t="shared" si="16"/>
        <v>38</v>
      </c>
      <c r="S61" t="e">
        <f t="shared" si="17"/>
        <v>#VALUE!</v>
      </c>
    </row>
    <row r="62" spans="1:19" x14ac:dyDescent="0.2">
      <c r="A62" t="s">
        <v>245</v>
      </c>
      <c r="B62" s="2" t="s">
        <v>324</v>
      </c>
      <c r="C62">
        <v>979</v>
      </c>
      <c r="D62" s="2" t="s">
        <v>324</v>
      </c>
      <c r="E62" s="3">
        <v>1920</v>
      </c>
      <c r="F62" s="1">
        <v>0.49</v>
      </c>
      <c r="G62">
        <v>-1</v>
      </c>
      <c r="H62" t="s">
        <v>59</v>
      </c>
      <c r="I62">
        <f t="shared" si="9"/>
        <v>5</v>
      </c>
      <c r="J62" s="3">
        <f t="shared" si="10"/>
        <v>941</v>
      </c>
      <c r="K62" t="str">
        <f t="shared" si="11"/>
        <v>Excellent</v>
      </c>
      <c r="L62" s="4">
        <f t="shared" si="12"/>
        <v>0.50989583333333333</v>
      </c>
      <c r="M62" t="str">
        <f t="shared" si="13"/>
        <v>High Discount</v>
      </c>
      <c r="P62" s="7">
        <f t="shared" si="14"/>
        <v>0.6346877308492791</v>
      </c>
      <c r="Q62">
        <f t="shared" si="15"/>
        <v>3750</v>
      </c>
      <c r="R62">
        <f t="shared" si="16"/>
        <v>38</v>
      </c>
      <c r="S62" t="e">
        <f t="shared" si="17"/>
        <v>#VALUE!</v>
      </c>
    </row>
    <row r="63" spans="1:19" x14ac:dyDescent="0.2">
      <c r="A63" t="s">
        <v>295</v>
      </c>
      <c r="B63" s="2" t="s">
        <v>324</v>
      </c>
      <c r="C63" s="3">
        <v>3640</v>
      </c>
      <c r="D63" s="2" t="s">
        <v>324</v>
      </c>
      <c r="E63" s="3">
        <v>4588</v>
      </c>
      <c r="F63" s="1">
        <v>0.21</v>
      </c>
      <c r="G63">
        <v>-1</v>
      </c>
      <c r="H63" t="s">
        <v>59</v>
      </c>
      <c r="I63">
        <f t="shared" si="9"/>
        <v>5</v>
      </c>
      <c r="J63" s="3">
        <f t="shared" si="10"/>
        <v>948</v>
      </c>
      <c r="K63" t="str">
        <f t="shared" si="11"/>
        <v>Excellent</v>
      </c>
      <c r="L63" s="4">
        <f t="shared" si="12"/>
        <v>0.79337401918047079</v>
      </c>
      <c r="M63" t="str">
        <f t="shared" si="13"/>
        <v>High Discount</v>
      </c>
      <c r="P63" s="7">
        <f t="shared" si="14"/>
        <v>0.66162255728964359</v>
      </c>
      <c r="Q63">
        <f t="shared" si="15"/>
        <v>3750</v>
      </c>
      <c r="R63">
        <f t="shared" si="16"/>
        <v>38</v>
      </c>
      <c r="S63" t="e">
        <f t="shared" si="17"/>
        <v>#VALUE!</v>
      </c>
    </row>
    <row r="64" spans="1:19" x14ac:dyDescent="0.2">
      <c r="A64" t="s">
        <v>22</v>
      </c>
      <c r="B64" s="2" t="s">
        <v>324</v>
      </c>
      <c r="C64" s="3">
        <v>1740</v>
      </c>
      <c r="D64" s="2" t="s">
        <v>324</v>
      </c>
      <c r="E64" s="3">
        <v>2356</v>
      </c>
      <c r="F64" s="1">
        <v>0.26</v>
      </c>
      <c r="G64">
        <v>-5</v>
      </c>
      <c r="H64" t="s">
        <v>25</v>
      </c>
      <c r="I64">
        <f t="shared" si="9"/>
        <v>4.8</v>
      </c>
      <c r="J64" s="3">
        <f t="shared" si="10"/>
        <v>616</v>
      </c>
      <c r="K64" t="str">
        <f t="shared" si="11"/>
        <v>Excellent</v>
      </c>
      <c r="L64" s="4">
        <f t="shared" si="12"/>
        <v>0.73853989813242782</v>
      </c>
      <c r="M64" t="str">
        <f t="shared" si="13"/>
        <v>High Discount</v>
      </c>
      <c r="P64" s="7">
        <f t="shared" si="14"/>
        <v>0.65845229834229724</v>
      </c>
      <c r="Q64">
        <f t="shared" si="15"/>
        <v>3750</v>
      </c>
      <c r="R64">
        <f t="shared" si="16"/>
        <v>38</v>
      </c>
      <c r="S64" t="e">
        <f t="shared" si="17"/>
        <v>#VALUE!</v>
      </c>
    </row>
    <row r="65" spans="1:19" x14ac:dyDescent="0.2">
      <c r="A65" t="s">
        <v>35</v>
      </c>
      <c r="B65" s="2" t="s">
        <v>324</v>
      </c>
      <c r="C65" s="3">
        <v>1274</v>
      </c>
      <c r="D65" s="2" t="s">
        <v>324</v>
      </c>
      <c r="E65" s="3">
        <v>2800</v>
      </c>
      <c r="F65" s="1">
        <v>0.55000000000000004</v>
      </c>
      <c r="G65">
        <v>-5</v>
      </c>
      <c r="H65" t="s">
        <v>25</v>
      </c>
      <c r="I65">
        <f t="shared" si="9"/>
        <v>4.8</v>
      </c>
      <c r="J65" s="3">
        <f t="shared" si="10"/>
        <v>1526</v>
      </c>
      <c r="K65" t="str">
        <f t="shared" si="11"/>
        <v>Excellent</v>
      </c>
      <c r="L65" s="4">
        <f t="shared" si="12"/>
        <v>0.45500000000000002</v>
      </c>
      <c r="M65" t="str">
        <f t="shared" si="13"/>
        <v>High Discount</v>
      </c>
      <c r="P65" s="7">
        <f t="shared" si="14"/>
        <v>0.66647671685805665</v>
      </c>
      <c r="Q65">
        <f t="shared" si="15"/>
        <v>3750</v>
      </c>
      <c r="R65">
        <f t="shared" si="16"/>
        <v>38</v>
      </c>
      <c r="S65" t="e">
        <f t="shared" si="17"/>
        <v>#VALUE!</v>
      </c>
    </row>
    <row r="66" spans="1:19" x14ac:dyDescent="0.2">
      <c r="A66" t="s">
        <v>47</v>
      </c>
      <c r="B66" s="2" t="s">
        <v>324</v>
      </c>
      <c r="C66">
        <v>552</v>
      </c>
      <c r="D66" s="2" t="s">
        <v>324</v>
      </c>
      <c r="E66" s="3">
        <v>1035</v>
      </c>
      <c r="F66" s="1">
        <v>0.47</v>
      </c>
      <c r="G66">
        <v>-12</v>
      </c>
      <c r="H66" t="s">
        <v>25</v>
      </c>
      <c r="I66">
        <f t="shared" ref="I66:I97" si="18">VALUE(LEFT(H66, FIND(" ", H66)-1))</f>
        <v>4.8</v>
      </c>
      <c r="J66" s="3">
        <f t="shared" ref="J66:J97" si="19">E66-C66</f>
        <v>483</v>
      </c>
      <c r="K66" t="str">
        <f t="shared" ref="K66:K97" si="20">IF(I66&lt;3,"Poor",IF(I66&lt;4.5,"Average","Excellent"))</f>
        <v>Excellent</v>
      </c>
      <c r="L66" s="4">
        <f t="shared" ref="L66:L97" si="21">C66/E66</f>
        <v>0.53333333333333333</v>
      </c>
      <c r="M66" t="str">
        <f t="shared" ref="M66:M97" si="22">IF(L66&lt;20%,"Low Discount",IF(L66&lt;=40%,"Medium Discount","High Discount"))</f>
        <v>High Discount</v>
      </c>
      <c r="P66" s="7">
        <f t="shared" ref="P66:P97" si="23">AVERAGE(L66:L74)</f>
        <v>0.67232446185636119</v>
      </c>
      <c r="Q66">
        <f t="shared" ref="Q66:Q97" si="24">MAX(C66:C177)</f>
        <v>3750</v>
      </c>
      <c r="R66">
        <f t="shared" ref="R66:R97" si="25">MIN(C66:C177)</f>
        <v>38</v>
      </c>
      <c r="S66" t="e">
        <f t="shared" ref="S66:S97" si="26">CORREL(L66:L177,G66:G177)</f>
        <v>#VALUE!</v>
      </c>
    </row>
    <row r="67" spans="1:19" x14ac:dyDescent="0.2">
      <c r="A67" t="s">
        <v>18</v>
      </c>
      <c r="B67" s="2" t="s">
        <v>324</v>
      </c>
      <c r="C67" s="3">
        <v>1580</v>
      </c>
      <c r="D67" s="2" t="s">
        <v>324</v>
      </c>
      <c r="E67" s="3">
        <v>2499</v>
      </c>
      <c r="F67" s="1">
        <v>0.37</v>
      </c>
      <c r="G67">
        <v>-7</v>
      </c>
      <c r="H67" t="s">
        <v>21</v>
      </c>
      <c r="I67">
        <f t="shared" si="18"/>
        <v>4.7</v>
      </c>
      <c r="J67" s="3">
        <f t="shared" si="19"/>
        <v>919</v>
      </c>
      <c r="K67" t="str">
        <f t="shared" si="20"/>
        <v>Excellent</v>
      </c>
      <c r="L67" s="4">
        <f t="shared" si="21"/>
        <v>0.63225290116046418</v>
      </c>
      <c r="M67" t="str">
        <f t="shared" si="22"/>
        <v>High Discount</v>
      </c>
      <c r="P67" s="7">
        <f t="shared" si="23"/>
        <v>0.68519297178824035</v>
      </c>
      <c r="Q67">
        <f t="shared" si="24"/>
        <v>3750</v>
      </c>
      <c r="R67">
        <f t="shared" si="25"/>
        <v>38</v>
      </c>
      <c r="S67" t="e">
        <f t="shared" si="26"/>
        <v>#VALUE!</v>
      </c>
    </row>
    <row r="68" spans="1:19" x14ac:dyDescent="0.2">
      <c r="A68" t="s">
        <v>44</v>
      </c>
      <c r="B68" s="2" t="s">
        <v>324</v>
      </c>
      <c r="C68">
        <v>990</v>
      </c>
      <c r="D68" s="2" t="s">
        <v>324</v>
      </c>
      <c r="E68" s="3">
        <v>1500</v>
      </c>
      <c r="F68" s="1">
        <v>0.34</v>
      </c>
      <c r="G68">
        <v>-39</v>
      </c>
      <c r="H68" t="s">
        <v>21</v>
      </c>
      <c r="I68">
        <f t="shared" si="18"/>
        <v>4.7</v>
      </c>
      <c r="J68" s="3">
        <f t="shared" si="19"/>
        <v>510</v>
      </c>
      <c r="K68" t="str">
        <f t="shared" si="20"/>
        <v>Excellent</v>
      </c>
      <c r="L68" s="4">
        <f t="shared" si="21"/>
        <v>0.66</v>
      </c>
      <c r="M68" t="str">
        <f t="shared" si="22"/>
        <v>High Discount</v>
      </c>
      <c r="P68" s="7">
        <f t="shared" si="23"/>
        <v>0.68415940717842583</v>
      </c>
      <c r="Q68">
        <f t="shared" si="24"/>
        <v>3750</v>
      </c>
      <c r="R68">
        <f t="shared" si="25"/>
        <v>38</v>
      </c>
      <c r="S68" t="e">
        <f t="shared" si="26"/>
        <v>#VALUE!</v>
      </c>
    </row>
    <row r="69" spans="1:19" x14ac:dyDescent="0.2">
      <c r="A69" t="s">
        <v>105</v>
      </c>
      <c r="B69" s="2" t="s">
        <v>324</v>
      </c>
      <c r="C69">
        <v>980</v>
      </c>
      <c r="D69" s="2" t="s">
        <v>324</v>
      </c>
      <c r="E69" s="3">
        <v>1490</v>
      </c>
      <c r="F69" s="1">
        <v>0.34</v>
      </c>
      <c r="G69">
        <v>-12</v>
      </c>
      <c r="H69" t="s">
        <v>21</v>
      </c>
      <c r="I69">
        <f t="shared" si="18"/>
        <v>4.7</v>
      </c>
      <c r="J69" s="3">
        <f t="shared" si="19"/>
        <v>510</v>
      </c>
      <c r="K69" t="str">
        <f t="shared" si="20"/>
        <v>Excellent</v>
      </c>
      <c r="L69" s="4">
        <f t="shared" si="21"/>
        <v>0.65771812080536918</v>
      </c>
      <c r="M69" t="str">
        <f t="shared" si="22"/>
        <v>High Discount</v>
      </c>
      <c r="P69" s="7">
        <f t="shared" si="23"/>
        <v>0.67555475601563508</v>
      </c>
      <c r="Q69">
        <f t="shared" si="24"/>
        <v>3750</v>
      </c>
      <c r="R69">
        <f t="shared" si="25"/>
        <v>38</v>
      </c>
      <c r="S69" t="e">
        <f t="shared" si="26"/>
        <v>#VALUE!</v>
      </c>
    </row>
    <row r="70" spans="1:19" x14ac:dyDescent="0.2">
      <c r="A70" t="s">
        <v>111</v>
      </c>
      <c r="B70" s="2" t="s">
        <v>324</v>
      </c>
      <c r="C70" s="3">
        <v>1940</v>
      </c>
      <c r="D70" s="2" t="s">
        <v>324</v>
      </c>
      <c r="E70" s="3">
        <v>2650</v>
      </c>
      <c r="F70" s="1">
        <v>0.27</v>
      </c>
      <c r="G70">
        <v>-20</v>
      </c>
      <c r="H70" t="s">
        <v>21</v>
      </c>
      <c r="I70">
        <f t="shared" si="18"/>
        <v>4.7</v>
      </c>
      <c r="J70" s="3">
        <f t="shared" si="19"/>
        <v>710</v>
      </c>
      <c r="K70" t="str">
        <f t="shared" si="20"/>
        <v>Excellent</v>
      </c>
      <c r="L70" s="4">
        <f t="shared" si="21"/>
        <v>0.73207547169811316</v>
      </c>
      <c r="M70" t="str">
        <f t="shared" si="22"/>
        <v>High Discount</v>
      </c>
      <c r="P70" s="7">
        <f t="shared" si="23"/>
        <v>0.68398663580429375</v>
      </c>
      <c r="Q70">
        <f t="shared" si="24"/>
        <v>3750</v>
      </c>
      <c r="R70">
        <f t="shared" si="25"/>
        <v>38</v>
      </c>
      <c r="S70" t="e">
        <f t="shared" si="26"/>
        <v>#VALUE!</v>
      </c>
    </row>
    <row r="71" spans="1:19" x14ac:dyDescent="0.2">
      <c r="A71" t="s">
        <v>14</v>
      </c>
      <c r="B71" s="2" t="s">
        <v>324</v>
      </c>
      <c r="C71" s="3">
        <v>2199</v>
      </c>
      <c r="D71" s="2" t="s">
        <v>324</v>
      </c>
      <c r="E71" s="3">
        <v>2923</v>
      </c>
      <c r="F71" s="1">
        <v>0.25</v>
      </c>
      <c r="G71">
        <v>-24</v>
      </c>
      <c r="H71" t="s">
        <v>17</v>
      </c>
      <c r="I71">
        <f t="shared" si="18"/>
        <v>4.5999999999999996</v>
      </c>
      <c r="J71" s="3">
        <f t="shared" si="19"/>
        <v>724</v>
      </c>
      <c r="K71" t="str">
        <f t="shared" si="20"/>
        <v>Excellent</v>
      </c>
      <c r="L71" s="4">
        <f t="shared" si="21"/>
        <v>0.75230927129661307</v>
      </c>
      <c r="M71" t="str">
        <f t="shared" si="22"/>
        <v>High Discount</v>
      </c>
      <c r="P71" s="7" t="e">
        <f t="shared" si="23"/>
        <v>#VALUE!</v>
      </c>
      <c r="Q71">
        <f t="shared" si="24"/>
        <v>3750</v>
      </c>
      <c r="R71">
        <f t="shared" si="25"/>
        <v>38</v>
      </c>
      <c r="S71" t="e">
        <f t="shared" si="26"/>
        <v>#VALUE!</v>
      </c>
    </row>
    <row r="72" spans="1:19" x14ac:dyDescent="0.2">
      <c r="A72" t="s">
        <v>30</v>
      </c>
      <c r="B72" s="2" t="s">
        <v>324</v>
      </c>
      <c r="C72" s="3">
        <v>2319</v>
      </c>
      <c r="D72" s="2" t="s">
        <v>324</v>
      </c>
      <c r="E72" s="3">
        <v>3032</v>
      </c>
      <c r="F72" s="1">
        <v>0.24</v>
      </c>
      <c r="G72">
        <v>-55</v>
      </c>
      <c r="H72" t="s">
        <v>17</v>
      </c>
      <c r="I72">
        <f t="shared" si="18"/>
        <v>4.5999999999999996</v>
      </c>
      <c r="J72" s="3">
        <f t="shared" si="19"/>
        <v>713</v>
      </c>
      <c r="K72" t="str">
        <f t="shared" si="20"/>
        <v>Excellent</v>
      </c>
      <c r="L72" s="4">
        <f t="shared" si="21"/>
        <v>0.76484168865435354</v>
      </c>
      <c r="M72" t="str">
        <f t="shared" si="22"/>
        <v>High Discount</v>
      </c>
      <c r="P72" s="7" t="e">
        <f t="shared" si="23"/>
        <v>#VALUE!</v>
      </c>
      <c r="Q72">
        <f t="shared" si="24"/>
        <v>3750</v>
      </c>
      <c r="R72">
        <f t="shared" si="25"/>
        <v>38</v>
      </c>
      <c r="S72" t="e">
        <f t="shared" si="26"/>
        <v>#VALUE!</v>
      </c>
    </row>
    <row r="73" spans="1:19" x14ac:dyDescent="0.2">
      <c r="A73" t="s">
        <v>66</v>
      </c>
      <c r="B73" s="2" t="s">
        <v>324</v>
      </c>
      <c r="C73" s="3">
        <v>2999</v>
      </c>
      <c r="D73" s="2" t="s">
        <v>324</v>
      </c>
      <c r="E73" s="3">
        <v>3699</v>
      </c>
      <c r="F73" s="1">
        <v>0.19</v>
      </c>
      <c r="G73">
        <v>-5</v>
      </c>
      <c r="H73" t="s">
        <v>17</v>
      </c>
      <c r="I73">
        <f t="shared" si="18"/>
        <v>4.5999999999999996</v>
      </c>
      <c r="J73" s="3">
        <f t="shared" si="19"/>
        <v>700</v>
      </c>
      <c r="K73" t="str">
        <f t="shared" si="20"/>
        <v>Excellent</v>
      </c>
      <c r="L73" s="4">
        <f t="shared" si="21"/>
        <v>0.81075966477426331</v>
      </c>
      <c r="M73" t="str">
        <f t="shared" si="22"/>
        <v>High Discount</v>
      </c>
      <c r="P73" s="7" t="e">
        <f t="shared" si="23"/>
        <v>#VALUE!</v>
      </c>
      <c r="Q73">
        <f t="shared" si="24"/>
        <v>3750</v>
      </c>
      <c r="R73">
        <f t="shared" si="25"/>
        <v>38</v>
      </c>
      <c r="S73" t="e">
        <f t="shared" si="26"/>
        <v>#VALUE!</v>
      </c>
    </row>
    <row r="74" spans="1:19" x14ac:dyDescent="0.2">
      <c r="A74" t="s">
        <v>68</v>
      </c>
      <c r="B74" s="2" t="s">
        <v>324</v>
      </c>
      <c r="C74">
        <v>998</v>
      </c>
      <c r="D74" s="2" t="s">
        <v>324</v>
      </c>
      <c r="E74" s="3">
        <v>1966</v>
      </c>
      <c r="F74" s="1">
        <v>0.49</v>
      </c>
      <c r="G74">
        <v>-44</v>
      </c>
      <c r="H74" t="s">
        <v>17</v>
      </c>
      <c r="I74">
        <f t="shared" si="18"/>
        <v>4.5999999999999996</v>
      </c>
      <c r="J74" s="3">
        <f t="shared" si="19"/>
        <v>968</v>
      </c>
      <c r="K74" t="str">
        <f t="shared" si="20"/>
        <v>Excellent</v>
      </c>
      <c r="L74" s="4">
        <f t="shared" si="21"/>
        <v>0.50762970498474058</v>
      </c>
      <c r="M74" t="str">
        <f t="shared" si="22"/>
        <v>High Discount</v>
      </c>
      <c r="P74" s="7" t="e">
        <f t="shared" si="23"/>
        <v>#VALUE!</v>
      </c>
      <c r="Q74">
        <f t="shared" si="24"/>
        <v>3750</v>
      </c>
      <c r="R74">
        <f t="shared" si="25"/>
        <v>38</v>
      </c>
      <c r="S74" t="e">
        <f t="shared" si="26"/>
        <v>#VALUE!</v>
      </c>
    </row>
    <row r="75" spans="1:19" x14ac:dyDescent="0.2">
      <c r="A75" t="s">
        <v>89</v>
      </c>
      <c r="B75" s="2" t="s">
        <v>324</v>
      </c>
      <c r="C75">
        <v>420</v>
      </c>
      <c r="D75" s="2" t="s">
        <v>324</v>
      </c>
      <c r="E75">
        <v>647</v>
      </c>
      <c r="F75" s="1">
        <v>0.35</v>
      </c>
      <c r="G75">
        <v>-49</v>
      </c>
      <c r="H75" t="s">
        <v>17</v>
      </c>
      <c r="I75">
        <f t="shared" si="18"/>
        <v>4.5999999999999996</v>
      </c>
      <c r="J75" s="3">
        <f t="shared" si="19"/>
        <v>227</v>
      </c>
      <c r="K75" t="str">
        <f t="shared" si="20"/>
        <v>Excellent</v>
      </c>
      <c r="L75" s="4">
        <f t="shared" si="21"/>
        <v>0.6491499227202473</v>
      </c>
      <c r="M75" t="str">
        <f t="shared" si="22"/>
        <v>High Discount</v>
      </c>
      <c r="P75" s="7" t="e">
        <f t="shared" si="23"/>
        <v>#VALUE!</v>
      </c>
      <c r="Q75">
        <f t="shared" si="24"/>
        <v>3750</v>
      </c>
      <c r="R75">
        <f t="shared" si="25"/>
        <v>38</v>
      </c>
      <c r="S75" t="e">
        <f t="shared" si="26"/>
        <v>#VALUE!</v>
      </c>
    </row>
    <row r="76" spans="1:19" x14ac:dyDescent="0.2">
      <c r="A76" t="s">
        <v>6</v>
      </c>
      <c r="B76" s="2" t="s">
        <v>324</v>
      </c>
      <c r="C76">
        <v>950</v>
      </c>
      <c r="D76" s="2" t="s">
        <v>324</v>
      </c>
      <c r="E76" s="3">
        <v>1525</v>
      </c>
      <c r="F76" s="1">
        <v>0.38</v>
      </c>
      <c r="G76">
        <v>-2</v>
      </c>
      <c r="H76" t="s">
        <v>9</v>
      </c>
      <c r="I76">
        <f t="shared" si="18"/>
        <v>4.5</v>
      </c>
      <c r="J76" s="3">
        <f t="shared" si="19"/>
        <v>575</v>
      </c>
      <c r="K76" t="str">
        <f t="shared" si="20"/>
        <v>Excellent</v>
      </c>
      <c r="L76" s="4">
        <f t="shared" si="21"/>
        <v>0.62295081967213117</v>
      </c>
      <c r="M76" t="str">
        <f t="shared" si="22"/>
        <v>High Discount</v>
      </c>
      <c r="N76" s="5">
        <f>AVERAGE(C76:C187)</f>
        <v>1230.7567567567567</v>
      </c>
      <c r="O76" s="6">
        <f>AVERAGE(E76:E187)</f>
        <v>1979.3783783783783</v>
      </c>
      <c r="P76" s="7" t="e">
        <f t="shared" si="23"/>
        <v>#VALUE!</v>
      </c>
      <c r="Q76">
        <f t="shared" si="24"/>
        <v>3750</v>
      </c>
      <c r="R76">
        <f t="shared" si="25"/>
        <v>38</v>
      </c>
      <c r="S76" t="e">
        <f t="shared" si="26"/>
        <v>#VALUE!</v>
      </c>
    </row>
    <row r="77" spans="1:19" x14ac:dyDescent="0.2">
      <c r="A77" t="s">
        <v>50</v>
      </c>
      <c r="B77" s="2" t="s">
        <v>324</v>
      </c>
      <c r="C77">
        <v>501</v>
      </c>
      <c r="D77" s="2" t="s">
        <v>324</v>
      </c>
      <c r="E77">
        <v>860</v>
      </c>
      <c r="F77" s="1">
        <v>0.42</v>
      </c>
      <c r="G77">
        <v>-6</v>
      </c>
      <c r="H77" t="s">
        <v>9</v>
      </c>
      <c r="I77">
        <f t="shared" si="18"/>
        <v>4.5</v>
      </c>
      <c r="J77" s="3">
        <f t="shared" si="19"/>
        <v>359</v>
      </c>
      <c r="K77" t="str">
        <f t="shared" si="20"/>
        <v>Excellent</v>
      </c>
      <c r="L77" s="4">
        <f t="shared" si="21"/>
        <v>0.58255813953488367</v>
      </c>
      <c r="M77" t="str">
        <f t="shared" si="22"/>
        <v>High Discount</v>
      </c>
      <c r="P77" s="7" t="e">
        <f t="shared" si="23"/>
        <v>#VALUE!</v>
      </c>
      <c r="Q77">
        <f t="shared" si="24"/>
        <v>3750</v>
      </c>
      <c r="R77">
        <f t="shared" si="25"/>
        <v>38</v>
      </c>
      <c r="S77" t="e">
        <f t="shared" si="26"/>
        <v>#VALUE!</v>
      </c>
    </row>
    <row r="78" spans="1:19" x14ac:dyDescent="0.2">
      <c r="A78" t="s">
        <v>114</v>
      </c>
      <c r="B78" s="2" t="s">
        <v>324</v>
      </c>
      <c r="C78" s="3">
        <v>1980</v>
      </c>
      <c r="D78" s="2" t="s">
        <v>324</v>
      </c>
      <c r="E78" s="3">
        <v>2699</v>
      </c>
      <c r="F78" s="1">
        <v>0.27</v>
      </c>
      <c r="G78">
        <v>-32</v>
      </c>
      <c r="H78" t="s">
        <v>9</v>
      </c>
      <c r="I78">
        <f t="shared" si="18"/>
        <v>4.5</v>
      </c>
      <c r="J78" s="3">
        <f t="shared" si="19"/>
        <v>719</v>
      </c>
      <c r="K78" t="str">
        <f t="shared" si="20"/>
        <v>Excellent</v>
      </c>
      <c r="L78" s="4">
        <f t="shared" si="21"/>
        <v>0.73360503890329753</v>
      </c>
      <c r="M78" t="str">
        <f t="shared" si="22"/>
        <v>High Discount</v>
      </c>
      <c r="P78" s="7" t="e">
        <f t="shared" si="23"/>
        <v>#VALUE!</v>
      </c>
      <c r="Q78">
        <f t="shared" si="24"/>
        <v>3750</v>
      </c>
      <c r="R78">
        <f t="shared" si="25"/>
        <v>38</v>
      </c>
      <c r="S78" t="e">
        <f t="shared" si="26"/>
        <v>#VALUE!</v>
      </c>
    </row>
    <row r="79" spans="1:19" x14ac:dyDescent="0.2">
      <c r="A79" t="s">
        <v>125</v>
      </c>
      <c r="B79" s="2" t="s">
        <v>324</v>
      </c>
      <c r="C79" t="s">
        <v>325</v>
      </c>
      <c r="D79" s="2" t="s">
        <v>324</v>
      </c>
      <c r="E79" t="s">
        <v>328</v>
      </c>
      <c r="F79" s="1">
        <v>0.38</v>
      </c>
      <c r="G79">
        <v>-2</v>
      </c>
      <c r="H79" t="s">
        <v>9</v>
      </c>
      <c r="I79">
        <f t="shared" si="18"/>
        <v>4.5</v>
      </c>
      <c r="J79" s="3" t="e">
        <f t="shared" si="19"/>
        <v>#VALUE!</v>
      </c>
      <c r="K79" t="str">
        <f t="shared" si="20"/>
        <v>Excellent</v>
      </c>
      <c r="L79" s="4" t="e">
        <f t="shared" si="21"/>
        <v>#VALUE!</v>
      </c>
      <c r="M79" t="e">
        <f t="shared" si="22"/>
        <v>#VALUE!</v>
      </c>
      <c r="P79" s="7" t="e">
        <f t="shared" si="23"/>
        <v>#VALUE!</v>
      </c>
      <c r="Q79">
        <f t="shared" si="24"/>
        <v>3750</v>
      </c>
      <c r="R79">
        <f t="shared" si="25"/>
        <v>38</v>
      </c>
      <c r="S79" t="e">
        <f t="shared" si="26"/>
        <v>#VALUE!</v>
      </c>
    </row>
    <row r="80" spans="1:19" hidden="1" x14ac:dyDescent="0.2">
      <c r="A80" t="s">
        <v>81</v>
      </c>
      <c r="B80" s="2" t="s">
        <v>324</v>
      </c>
      <c r="C80" s="3">
        <v>1650</v>
      </c>
      <c r="D80" s="2" t="s">
        <v>324</v>
      </c>
      <c r="E80" s="3">
        <v>2150</v>
      </c>
      <c r="F80" s="1">
        <v>0.23</v>
      </c>
      <c r="G80">
        <v>-14</v>
      </c>
      <c r="H80" t="s">
        <v>84</v>
      </c>
      <c r="I80">
        <f t="shared" si="18"/>
        <v>4.4000000000000004</v>
      </c>
      <c r="J80" s="3">
        <f t="shared" si="19"/>
        <v>500</v>
      </c>
      <c r="K80" t="str">
        <f t="shared" si="20"/>
        <v>Average</v>
      </c>
      <c r="L80" s="4">
        <f t="shared" si="21"/>
        <v>0.76744186046511631</v>
      </c>
      <c r="M80" t="str">
        <f t="shared" si="22"/>
        <v>High Discount</v>
      </c>
      <c r="P80" s="7">
        <f t="shared" si="23"/>
        <v>0.61382239655173709</v>
      </c>
      <c r="Q80">
        <f t="shared" si="24"/>
        <v>3750</v>
      </c>
      <c r="R80">
        <f t="shared" si="25"/>
        <v>38</v>
      </c>
      <c r="S80">
        <f t="shared" si="26"/>
        <v>-4.7872230405202276E-4</v>
      </c>
    </row>
    <row r="81" spans="1:19" hidden="1" x14ac:dyDescent="0.2">
      <c r="A81" t="s">
        <v>85</v>
      </c>
      <c r="B81" s="2" t="s">
        <v>324</v>
      </c>
      <c r="C81" s="3">
        <v>2048</v>
      </c>
      <c r="D81" s="2" t="s">
        <v>324</v>
      </c>
      <c r="E81" s="3">
        <v>4500</v>
      </c>
      <c r="F81" s="1">
        <v>0.54</v>
      </c>
      <c r="G81">
        <v>-7</v>
      </c>
      <c r="H81" t="s">
        <v>88</v>
      </c>
      <c r="I81">
        <f t="shared" si="18"/>
        <v>4.3</v>
      </c>
      <c r="J81" s="3">
        <f t="shared" si="19"/>
        <v>2452</v>
      </c>
      <c r="K81" t="str">
        <f t="shared" si="20"/>
        <v>Average</v>
      </c>
      <c r="L81" s="4">
        <f t="shared" si="21"/>
        <v>0.45511111111111113</v>
      </c>
      <c r="M81" t="str">
        <f t="shared" si="22"/>
        <v>High Discount</v>
      </c>
      <c r="P81" s="7">
        <f t="shared" si="23"/>
        <v>0.6298344289418002</v>
      </c>
      <c r="Q81">
        <f t="shared" si="24"/>
        <v>3750</v>
      </c>
      <c r="R81">
        <f t="shared" si="25"/>
        <v>38</v>
      </c>
      <c r="S81">
        <f t="shared" si="26"/>
        <v>8.0124100952289647E-3</v>
      </c>
    </row>
    <row r="82" spans="1:19" hidden="1" x14ac:dyDescent="0.2">
      <c r="A82" t="s">
        <v>102</v>
      </c>
      <c r="B82" s="2" t="s">
        <v>324</v>
      </c>
      <c r="C82">
        <v>185</v>
      </c>
      <c r="D82" s="2" t="s">
        <v>324</v>
      </c>
      <c r="E82">
        <v>382</v>
      </c>
      <c r="F82" s="1">
        <v>0.52</v>
      </c>
      <c r="G82">
        <v>-9</v>
      </c>
      <c r="H82" t="s">
        <v>88</v>
      </c>
      <c r="I82">
        <f t="shared" si="18"/>
        <v>4.3</v>
      </c>
      <c r="J82" s="3">
        <f t="shared" si="19"/>
        <v>197</v>
      </c>
      <c r="K82" t="str">
        <f t="shared" si="20"/>
        <v>Average</v>
      </c>
      <c r="L82" s="4">
        <f t="shared" si="21"/>
        <v>0.48429319371727747</v>
      </c>
      <c r="M82" t="str">
        <f t="shared" si="22"/>
        <v>High Discount</v>
      </c>
      <c r="P82" s="7">
        <f t="shared" si="23"/>
        <v>0.64874613389569913</v>
      </c>
      <c r="Q82">
        <f t="shared" si="24"/>
        <v>3750</v>
      </c>
      <c r="R82">
        <f t="shared" si="25"/>
        <v>38</v>
      </c>
      <c r="S82">
        <f t="shared" si="26"/>
        <v>2.1552059513321464E-2</v>
      </c>
    </row>
    <row r="83" spans="1:19" hidden="1" x14ac:dyDescent="0.2">
      <c r="A83" t="s">
        <v>108</v>
      </c>
      <c r="B83" s="2" t="s">
        <v>324</v>
      </c>
      <c r="C83" s="3">
        <v>1820</v>
      </c>
      <c r="D83" s="2" t="s">
        <v>324</v>
      </c>
      <c r="E83" s="3">
        <v>3490</v>
      </c>
      <c r="F83" s="1">
        <v>0.48</v>
      </c>
      <c r="G83">
        <v>-9</v>
      </c>
      <c r="H83" t="s">
        <v>88</v>
      </c>
      <c r="I83">
        <f t="shared" si="18"/>
        <v>4.3</v>
      </c>
      <c r="J83" s="3">
        <f t="shared" si="19"/>
        <v>1670</v>
      </c>
      <c r="K83" t="str">
        <f t="shared" si="20"/>
        <v>Average</v>
      </c>
      <c r="L83" s="4">
        <f t="shared" si="21"/>
        <v>0.52148997134670483</v>
      </c>
      <c r="M83" t="str">
        <f t="shared" si="22"/>
        <v>High Discount</v>
      </c>
      <c r="P83" s="7">
        <f t="shared" si="23"/>
        <v>0.66736376257731866</v>
      </c>
      <c r="Q83">
        <f t="shared" si="24"/>
        <v>3750</v>
      </c>
      <c r="R83">
        <f t="shared" si="25"/>
        <v>38</v>
      </c>
      <c r="S83">
        <f t="shared" si="26"/>
        <v>2.8403572979760681E-2</v>
      </c>
    </row>
    <row r="84" spans="1:19" hidden="1" x14ac:dyDescent="0.2">
      <c r="A84" t="s">
        <v>122</v>
      </c>
      <c r="B84" s="2" t="s">
        <v>324</v>
      </c>
      <c r="C84">
        <v>389</v>
      </c>
      <c r="D84" s="2" t="s">
        <v>324</v>
      </c>
      <c r="E84">
        <v>656</v>
      </c>
      <c r="F84" s="1">
        <v>0.41</v>
      </c>
      <c r="G84">
        <v>-36</v>
      </c>
      <c r="H84" t="s">
        <v>88</v>
      </c>
      <c r="I84">
        <f t="shared" si="18"/>
        <v>4.3</v>
      </c>
      <c r="J84" s="3">
        <f t="shared" si="19"/>
        <v>267</v>
      </c>
      <c r="K84" t="str">
        <f t="shared" si="20"/>
        <v>Average</v>
      </c>
      <c r="L84" s="4">
        <f t="shared" si="21"/>
        <v>0.59298780487804881</v>
      </c>
      <c r="M84" t="str">
        <f t="shared" si="22"/>
        <v>High Discount</v>
      </c>
      <c r="P84" s="7">
        <f t="shared" si="23"/>
        <v>0.66609225107786507</v>
      </c>
      <c r="Q84">
        <f t="shared" si="24"/>
        <v>3750</v>
      </c>
      <c r="R84">
        <f t="shared" si="25"/>
        <v>38</v>
      </c>
      <c r="S84">
        <f t="shared" si="26"/>
        <v>3.3484256831634258E-2</v>
      </c>
    </row>
    <row r="85" spans="1:19" hidden="1" x14ac:dyDescent="0.2">
      <c r="A85" t="s">
        <v>53</v>
      </c>
      <c r="B85" s="2" t="s">
        <v>324</v>
      </c>
      <c r="C85" s="3">
        <v>1680</v>
      </c>
      <c r="D85" s="2" t="s">
        <v>324</v>
      </c>
      <c r="E85" s="3">
        <v>2499</v>
      </c>
      <c r="F85" s="1">
        <v>0.33</v>
      </c>
      <c r="G85">
        <v>-9</v>
      </c>
      <c r="H85" t="s">
        <v>55</v>
      </c>
      <c r="I85">
        <f t="shared" si="18"/>
        <v>4.2</v>
      </c>
      <c r="J85" s="3">
        <f t="shared" si="19"/>
        <v>819</v>
      </c>
      <c r="K85" t="str">
        <f t="shared" si="20"/>
        <v>Average</v>
      </c>
      <c r="L85" s="4">
        <f t="shared" si="21"/>
        <v>0.67226890756302526</v>
      </c>
      <c r="M85" t="str">
        <f t="shared" si="22"/>
        <v>High Discount</v>
      </c>
      <c r="P85" s="7">
        <f t="shared" si="23"/>
        <v>0.66090044194741449</v>
      </c>
      <c r="Q85">
        <f t="shared" si="24"/>
        <v>3750</v>
      </c>
      <c r="R85">
        <f t="shared" si="25"/>
        <v>38</v>
      </c>
      <c r="S85">
        <f t="shared" si="26"/>
        <v>2.7733392497951682E-2</v>
      </c>
    </row>
    <row r="86" spans="1:19" hidden="1" x14ac:dyDescent="0.2">
      <c r="A86" t="s">
        <v>10</v>
      </c>
      <c r="B86" s="2" t="s">
        <v>324</v>
      </c>
      <c r="C86">
        <v>527</v>
      </c>
      <c r="D86" s="2" t="s">
        <v>324</v>
      </c>
      <c r="E86">
        <v>999</v>
      </c>
      <c r="F86" s="1">
        <v>0.47</v>
      </c>
      <c r="G86">
        <v>-14</v>
      </c>
      <c r="H86" t="s">
        <v>13</v>
      </c>
      <c r="I86">
        <f t="shared" si="18"/>
        <v>4.0999999999999996</v>
      </c>
      <c r="J86" s="3">
        <f t="shared" si="19"/>
        <v>472</v>
      </c>
      <c r="K86" t="str">
        <f t="shared" si="20"/>
        <v>Average</v>
      </c>
      <c r="L86" s="4">
        <f t="shared" si="21"/>
        <v>0.52752752752752752</v>
      </c>
      <c r="M86" t="str">
        <f t="shared" si="22"/>
        <v>High Discount</v>
      </c>
      <c r="P86" s="7">
        <f t="shared" si="23"/>
        <v>0.67711298757172489</v>
      </c>
      <c r="Q86">
        <f t="shared" si="24"/>
        <v>3750</v>
      </c>
      <c r="R86">
        <f t="shared" si="25"/>
        <v>38</v>
      </c>
      <c r="S86">
        <f t="shared" si="26"/>
        <v>2.4953118415255701E-2</v>
      </c>
    </row>
    <row r="87" spans="1:19" hidden="1" x14ac:dyDescent="0.2">
      <c r="A87" t="s">
        <v>42</v>
      </c>
      <c r="B87" s="2" t="s">
        <v>324</v>
      </c>
      <c r="C87">
        <v>799</v>
      </c>
      <c r="D87" s="2" t="s">
        <v>324</v>
      </c>
      <c r="E87">
        <v>999</v>
      </c>
      <c r="F87" s="1">
        <v>0.2</v>
      </c>
      <c r="G87">
        <v>-12</v>
      </c>
      <c r="H87" t="s">
        <v>13</v>
      </c>
      <c r="I87">
        <f t="shared" si="18"/>
        <v>4.0999999999999996</v>
      </c>
      <c r="J87" s="3">
        <f t="shared" si="19"/>
        <v>200</v>
      </c>
      <c r="K87" t="str">
        <f t="shared" si="20"/>
        <v>Average</v>
      </c>
      <c r="L87" s="4">
        <f t="shared" si="21"/>
        <v>0.79979979979979976</v>
      </c>
      <c r="M87" t="str">
        <f t="shared" si="22"/>
        <v>High Discount</v>
      </c>
      <c r="P87" s="7">
        <f t="shared" si="23"/>
        <v>0.69387570226855466</v>
      </c>
      <c r="Q87">
        <f t="shared" si="24"/>
        <v>3750</v>
      </c>
      <c r="R87">
        <f t="shared" si="25"/>
        <v>38</v>
      </c>
      <c r="S87">
        <f t="shared" si="26"/>
        <v>1.9615987094498188E-2</v>
      </c>
    </row>
    <row r="88" spans="1:19" hidden="1" x14ac:dyDescent="0.2">
      <c r="A88" t="s">
        <v>97</v>
      </c>
      <c r="B88" s="2" t="s">
        <v>324</v>
      </c>
      <c r="C88" s="3">
        <v>1758</v>
      </c>
      <c r="D88" s="2" t="s">
        <v>324</v>
      </c>
      <c r="E88" s="3">
        <v>2499</v>
      </c>
      <c r="F88" s="1">
        <v>0.3</v>
      </c>
      <c r="G88">
        <v>-20</v>
      </c>
      <c r="H88" t="s">
        <v>13</v>
      </c>
      <c r="I88">
        <f t="shared" si="18"/>
        <v>4.0999999999999996</v>
      </c>
      <c r="J88" s="3">
        <f t="shared" si="19"/>
        <v>741</v>
      </c>
      <c r="K88" t="str">
        <f t="shared" si="20"/>
        <v>Average</v>
      </c>
      <c r="L88" s="4">
        <f t="shared" si="21"/>
        <v>0.7034813925570228</v>
      </c>
      <c r="M88" t="str">
        <f t="shared" si="22"/>
        <v>High Discount</v>
      </c>
      <c r="P88" s="7">
        <f t="shared" si="23"/>
        <v>0.65778683562413243</v>
      </c>
      <c r="Q88">
        <f t="shared" si="24"/>
        <v>3750</v>
      </c>
      <c r="R88">
        <f t="shared" si="25"/>
        <v>38</v>
      </c>
      <c r="S88">
        <f t="shared" si="26"/>
        <v>2.5772203959488611E-2</v>
      </c>
    </row>
    <row r="89" spans="1:19" hidden="1" x14ac:dyDescent="0.2">
      <c r="A89" t="s">
        <v>26</v>
      </c>
      <c r="B89" s="2" t="s">
        <v>324</v>
      </c>
      <c r="C89" s="3">
        <v>2999</v>
      </c>
      <c r="D89" s="2" t="s">
        <v>324</v>
      </c>
      <c r="E89" s="3">
        <v>3290</v>
      </c>
      <c r="F89" s="1">
        <v>0.09</v>
      </c>
      <c r="G89">
        <v>-15</v>
      </c>
      <c r="H89" t="s">
        <v>29</v>
      </c>
      <c r="I89">
        <f t="shared" si="18"/>
        <v>4</v>
      </c>
      <c r="J89" s="3">
        <f t="shared" si="19"/>
        <v>291</v>
      </c>
      <c r="K89" t="str">
        <f t="shared" si="20"/>
        <v>Average</v>
      </c>
      <c r="L89" s="4">
        <f t="shared" si="21"/>
        <v>0.9115501519756839</v>
      </c>
      <c r="M89" t="str">
        <f t="shared" si="22"/>
        <v>High Discount</v>
      </c>
      <c r="P89" s="7">
        <f t="shared" si="23"/>
        <v>0.63123368562850202</v>
      </c>
      <c r="Q89">
        <f t="shared" si="24"/>
        <v>3750</v>
      </c>
      <c r="R89">
        <f t="shared" si="25"/>
        <v>38</v>
      </c>
      <c r="S89">
        <f t="shared" si="26"/>
        <v>5.024065850595226E-2</v>
      </c>
    </row>
    <row r="90" spans="1:19" hidden="1" x14ac:dyDescent="0.2">
      <c r="A90" t="s">
        <v>33</v>
      </c>
      <c r="B90" s="2" t="s">
        <v>324</v>
      </c>
      <c r="C90">
        <v>988</v>
      </c>
      <c r="D90" s="2" t="s">
        <v>324</v>
      </c>
      <c r="E90" s="3">
        <v>1580</v>
      </c>
      <c r="F90" s="1">
        <v>0.37</v>
      </c>
      <c r="G90">
        <v>-2</v>
      </c>
      <c r="H90" t="s">
        <v>29</v>
      </c>
      <c r="I90">
        <f t="shared" si="18"/>
        <v>4</v>
      </c>
      <c r="J90" s="3">
        <f t="shared" si="19"/>
        <v>592</v>
      </c>
      <c r="K90" t="str">
        <f t="shared" si="20"/>
        <v>Average</v>
      </c>
      <c r="L90" s="4">
        <f t="shared" si="21"/>
        <v>0.62531645569620253</v>
      </c>
      <c r="M90" t="str">
        <f t="shared" si="22"/>
        <v>High Discount</v>
      </c>
      <c r="P90" s="7">
        <f t="shared" si="23"/>
        <v>0.59777821538076514</v>
      </c>
      <c r="Q90">
        <f t="shared" si="24"/>
        <v>3750</v>
      </c>
      <c r="R90">
        <f t="shared" si="25"/>
        <v>38</v>
      </c>
      <c r="S90">
        <f t="shared" si="26"/>
        <v>0.1004505319852091</v>
      </c>
    </row>
    <row r="91" spans="1:19" hidden="1" x14ac:dyDescent="0.2">
      <c r="A91" t="s">
        <v>78</v>
      </c>
      <c r="B91" s="2" t="s">
        <v>324</v>
      </c>
      <c r="C91">
        <v>880</v>
      </c>
      <c r="D91" s="2" t="s">
        <v>324</v>
      </c>
      <c r="E91" s="3">
        <v>1350</v>
      </c>
      <c r="F91" s="1">
        <v>0.35</v>
      </c>
      <c r="G91">
        <v>-6</v>
      </c>
      <c r="H91" t="s">
        <v>29</v>
      </c>
      <c r="I91">
        <f t="shared" si="18"/>
        <v>4</v>
      </c>
      <c r="J91" s="3">
        <f t="shared" si="19"/>
        <v>470</v>
      </c>
      <c r="K91" t="str">
        <f t="shared" si="20"/>
        <v>Average</v>
      </c>
      <c r="L91" s="4">
        <f t="shared" si="21"/>
        <v>0.6518518518518519</v>
      </c>
      <c r="M91" t="str">
        <f t="shared" si="22"/>
        <v>High Discount</v>
      </c>
      <c r="P91" s="7">
        <f t="shared" si="23"/>
        <v>0.60717378066006233</v>
      </c>
      <c r="Q91">
        <f t="shared" si="24"/>
        <v>3750</v>
      </c>
      <c r="R91">
        <f t="shared" si="25"/>
        <v>38</v>
      </c>
      <c r="S91">
        <f t="shared" si="26"/>
        <v>9.1312457213277992E-2</v>
      </c>
    </row>
    <row r="92" spans="1:19" hidden="1" x14ac:dyDescent="0.2">
      <c r="A92" t="s">
        <v>253</v>
      </c>
      <c r="B92" s="2" t="s">
        <v>324</v>
      </c>
      <c r="C92">
        <v>330</v>
      </c>
      <c r="D92" s="2" t="s">
        <v>324</v>
      </c>
      <c r="E92">
        <v>647</v>
      </c>
      <c r="F92" s="1">
        <v>0.49</v>
      </c>
      <c r="G92">
        <v>-1</v>
      </c>
      <c r="H92" t="s">
        <v>29</v>
      </c>
      <c r="I92">
        <f t="shared" si="18"/>
        <v>4</v>
      </c>
      <c r="J92" s="3">
        <f t="shared" si="19"/>
        <v>317</v>
      </c>
      <c r="K92" t="str">
        <f t="shared" si="20"/>
        <v>Average</v>
      </c>
      <c r="L92" s="4">
        <f t="shared" si="21"/>
        <v>0.51004636785162283</v>
      </c>
      <c r="M92" t="str">
        <f t="shared" si="22"/>
        <v>High Discount</v>
      </c>
      <c r="P92" s="7">
        <f t="shared" si="23"/>
        <v>0.59765520263326521</v>
      </c>
      <c r="Q92">
        <f t="shared" si="24"/>
        <v>3750</v>
      </c>
      <c r="R92">
        <f t="shared" si="25"/>
        <v>38</v>
      </c>
      <c r="S92">
        <f t="shared" si="26"/>
        <v>8.2482046206585349E-2</v>
      </c>
    </row>
    <row r="93" spans="1:19" hidden="1" x14ac:dyDescent="0.2">
      <c r="A93" t="s">
        <v>38</v>
      </c>
      <c r="B93" s="2" t="s">
        <v>324</v>
      </c>
      <c r="C93" s="3">
        <v>1600</v>
      </c>
      <c r="D93" s="2" t="s">
        <v>324</v>
      </c>
      <c r="E93" s="3">
        <v>2929</v>
      </c>
      <c r="F93" s="1">
        <v>0.45</v>
      </c>
      <c r="G93">
        <v>-5</v>
      </c>
      <c r="H93" t="s">
        <v>41</v>
      </c>
      <c r="I93">
        <f t="shared" si="18"/>
        <v>3.8</v>
      </c>
      <c r="J93" s="3">
        <f t="shared" si="19"/>
        <v>1329</v>
      </c>
      <c r="K93" t="str">
        <f t="shared" si="20"/>
        <v>Average</v>
      </c>
      <c r="L93" s="4">
        <f t="shared" si="21"/>
        <v>0.54626152270399453</v>
      </c>
      <c r="M93" t="str">
        <f t="shared" si="22"/>
        <v>High Discount</v>
      </c>
      <c r="P93" s="7">
        <f t="shared" si="23"/>
        <v>0.60106119713047512</v>
      </c>
      <c r="Q93">
        <f t="shared" si="24"/>
        <v>3750</v>
      </c>
      <c r="R93">
        <f t="shared" si="25"/>
        <v>38</v>
      </c>
      <c r="S93">
        <f t="shared" si="26"/>
        <v>0.10535119974603428</v>
      </c>
    </row>
    <row r="94" spans="1:19" hidden="1" x14ac:dyDescent="0.2">
      <c r="A94" t="s">
        <v>92</v>
      </c>
      <c r="B94" s="2" t="s">
        <v>324</v>
      </c>
      <c r="C94" s="3">
        <v>2880</v>
      </c>
      <c r="D94" s="2" t="s">
        <v>324</v>
      </c>
      <c r="E94" s="3">
        <v>3520</v>
      </c>
      <c r="F94" s="1">
        <v>0.18</v>
      </c>
      <c r="G94">
        <v>-12</v>
      </c>
      <c r="H94" t="s">
        <v>41</v>
      </c>
      <c r="I94">
        <f t="shared" si="18"/>
        <v>3.8</v>
      </c>
      <c r="J94" s="3">
        <f t="shared" si="19"/>
        <v>640</v>
      </c>
      <c r="K94" t="str">
        <f t="shared" si="20"/>
        <v>Average</v>
      </c>
      <c r="L94" s="4">
        <f t="shared" si="21"/>
        <v>0.81818181818181823</v>
      </c>
      <c r="M94" t="str">
        <f t="shared" si="22"/>
        <v>High Discount</v>
      </c>
      <c r="P94" s="7">
        <f t="shared" si="23"/>
        <v>0.62753946309655506</v>
      </c>
      <c r="Q94">
        <f t="shared" si="24"/>
        <v>3750</v>
      </c>
      <c r="R94">
        <f t="shared" si="25"/>
        <v>38</v>
      </c>
      <c r="S94">
        <f t="shared" si="26"/>
        <v>0.1132930031471803</v>
      </c>
    </row>
    <row r="95" spans="1:19" hidden="1" x14ac:dyDescent="0.2">
      <c r="A95" t="s">
        <v>95</v>
      </c>
      <c r="B95" s="2" t="s">
        <v>324</v>
      </c>
      <c r="C95" s="3">
        <v>1350</v>
      </c>
      <c r="D95" s="2" t="s">
        <v>324</v>
      </c>
      <c r="E95" s="3">
        <v>1990</v>
      </c>
      <c r="F95" s="1">
        <v>0.32</v>
      </c>
      <c r="G95">
        <v>-13</v>
      </c>
      <c r="H95" t="s">
        <v>41</v>
      </c>
      <c r="I95">
        <f t="shared" si="18"/>
        <v>3.8</v>
      </c>
      <c r="J95" s="3">
        <f t="shared" si="19"/>
        <v>640</v>
      </c>
      <c r="K95" t="str">
        <f t="shared" si="20"/>
        <v>Average</v>
      </c>
      <c r="L95" s="4">
        <f t="shared" si="21"/>
        <v>0.67839195979899503</v>
      </c>
      <c r="M95" t="str">
        <f t="shared" si="22"/>
        <v>High Discount</v>
      </c>
      <c r="P95" s="7">
        <f t="shared" si="23"/>
        <v>0.59326776559461691</v>
      </c>
      <c r="Q95">
        <f t="shared" si="24"/>
        <v>3750</v>
      </c>
      <c r="R95">
        <f t="shared" si="25"/>
        <v>38</v>
      </c>
      <c r="S95">
        <f t="shared" si="26"/>
        <v>0.12964655726790769</v>
      </c>
    </row>
    <row r="96" spans="1:19" hidden="1" x14ac:dyDescent="0.2">
      <c r="A96" t="s">
        <v>71</v>
      </c>
      <c r="B96" s="2" t="s">
        <v>324</v>
      </c>
      <c r="C96">
        <v>38</v>
      </c>
      <c r="D96" s="2" t="s">
        <v>324</v>
      </c>
      <c r="E96">
        <v>80</v>
      </c>
      <c r="F96" s="1">
        <v>0.53</v>
      </c>
      <c r="G96">
        <v>-13</v>
      </c>
      <c r="H96" t="s">
        <v>74</v>
      </c>
      <c r="I96">
        <f t="shared" si="18"/>
        <v>3.3</v>
      </c>
      <c r="J96" s="3">
        <f t="shared" si="19"/>
        <v>42</v>
      </c>
      <c r="K96" t="str">
        <f t="shared" si="20"/>
        <v>Average</v>
      </c>
      <c r="L96" s="4">
        <f t="shared" si="21"/>
        <v>0.47499999999999998</v>
      </c>
      <c r="M96" t="str">
        <f t="shared" si="22"/>
        <v>High Discount</v>
      </c>
      <c r="P96" s="7">
        <f t="shared" si="23"/>
        <v>0.57099545633590509</v>
      </c>
      <c r="Q96">
        <f t="shared" si="24"/>
        <v>3750</v>
      </c>
      <c r="R96">
        <f t="shared" si="25"/>
        <v>38</v>
      </c>
      <c r="S96">
        <f t="shared" si="26"/>
        <v>0.13853485714232841</v>
      </c>
    </row>
    <row r="97" spans="1:19" hidden="1" x14ac:dyDescent="0.2">
      <c r="A97" t="s">
        <v>186</v>
      </c>
      <c r="B97" s="2" t="s">
        <v>324</v>
      </c>
      <c r="C97">
        <v>458</v>
      </c>
      <c r="D97" s="2" t="s">
        <v>324</v>
      </c>
      <c r="E97">
        <v>986</v>
      </c>
      <c r="F97" s="1">
        <v>0.54</v>
      </c>
      <c r="G97">
        <v>-10</v>
      </c>
      <c r="H97" t="s">
        <v>189</v>
      </c>
      <c r="I97">
        <f t="shared" si="18"/>
        <v>3</v>
      </c>
      <c r="J97" s="3">
        <f t="shared" si="19"/>
        <v>528</v>
      </c>
      <c r="K97" t="str">
        <f t="shared" si="20"/>
        <v>Average</v>
      </c>
      <c r="L97" s="4">
        <f t="shared" si="21"/>
        <v>0.46450304259634889</v>
      </c>
      <c r="M97" t="str">
        <f t="shared" si="22"/>
        <v>High Discount</v>
      </c>
      <c r="P97" s="7">
        <f t="shared" si="23"/>
        <v>0.57885259919304788</v>
      </c>
      <c r="Q97">
        <f t="shared" si="24"/>
        <v>3750</v>
      </c>
      <c r="R97">
        <f t="shared" si="25"/>
        <v>325</v>
      </c>
      <c r="S97">
        <f t="shared" si="26"/>
        <v>0.13656190516674063</v>
      </c>
    </row>
    <row r="98" spans="1:19" hidden="1" x14ac:dyDescent="0.2">
      <c r="A98" t="s">
        <v>212</v>
      </c>
      <c r="B98" s="2" t="s">
        <v>324</v>
      </c>
      <c r="C98" s="3">
        <v>3750</v>
      </c>
      <c r="D98" s="2" t="s">
        <v>324</v>
      </c>
      <c r="E98" s="3">
        <v>6143</v>
      </c>
      <c r="F98" s="1">
        <v>0.39</v>
      </c>
      <c r="G98">
        <v>-5</v>
      </c>
      <c r="H98" t="s">
        <v>189</v>
      </c>
      <c r="I98">
        <f t="shared" ref="I98:I113" si="27">VALUE(LEFT(H98, FIND(" ", H98)-1))</f>
        <v>3</v>
      </c>
      <c r="J98" s="3">
        <f t="shared" ref="J98:J113" si="28">E98-C98</f>
        <v>2393</v>
      </c>
      <c r="K98" t="str">
        <f t="shared" ref="K98:K113" si="29">IF(I98&lt;3,"Poor",IF(I98&lt;4.5,"Average","Excellent"))</f>
        <v>Average</v>
      </c>
      <c r="L98" s="4">
        <f t="shared" ref="L98:L113" si="30">C98/E98</f>
        <v>0.61045091974605237</v>
      </c>
      <c r="M98" t="str">
        <f t="shared" ref="M98:M113" si="31">IF(L98&lt;20%,"Low Discount",IF(L98&lt;=40%,"Medium Discount","High Discount"))</f>
        <v>High Discount</v>
      </c>
      <c r="P98" s="7">
        <f t="shared" ref="P98:P113" si="32">AVERAGE(L98:L106)</f>
        <v>0.62368559446012029</v>
      </c>
      <c r="Q98">
        <f t="shared" ref="Q98:Q113" si="33">MAX(C98:C209)</f>
        <v>3750</v>
      </c>
      <c r="R98">
        <f t="shared" ref="R98:R113" si="34">MIN(C98:C209)</f>
        <v>325</v>
      </c>
      <c r="S98">
        <f t="shared" ref="S98:S113" si="35">CORREL(L98:L209,G98:G209)</f>
        <v>0.14673308525124248</v>
      </c>
    </row>
    <row r="99" spans="1:19" hidden="1" x14ac:dyDescent="0.2">
      <c r="A99" t="s">
        <v>218</v>
      </c>
      <c r="B99" s="2" t="s">
        <v>324</v>
      </c>
      <c r="C99" s="3">
        <v>2300</v>
      </c>
      <c r="D99" s="2" t="s">
        <v>324</v>
      </c>
      <c r="E99" s="3">
        <v>3240</v>
      </c>
      <c r="F99" s="1">
        <v>0.28999999999999998</v>
      </c>
      <c r="G99">
        <v>-5</v>
      </c>
      <c r="H99" t="s">
        <v>189</v>
      </c>
      <c r="I99">
        <f t="shared" si="27"/>
        <v>3</v>
      </c>
      <c r="J99" s="3">
        <f t="shared" si="28"/>
        <v>940</v>
      </c>
      <c r="K99" t="str">
        <f t="shared" si="29"/>
        <v>Average</v>
      </c>
      <c r="L99" s="4">
        <f t="shared" si="30"/>
        <v>0.70987654320987659</v>
      </c>
      <c r="M99" t="str">
        <f t="shared" si="31"/>
        <v>High Discount</v>
      </c>
      <c r="P99" s="7">
        <f t="shared" si="32"/>
        <v>0.61141327004389234</v>
      </c>
      <c r="Q99">
        <f t="shared" si="33"/>
        <v>2300</v>
      </c>
      <c r="R99">
        <f t="shared" si="34"/>
        <v>325</v>
      </c>
      <c r="S99">
        <f t="shared" si="35"/>
        <v>0.1396395038365417</v>
      </c>
    </row>
    <row r="100" spans="1:19" hidden="1" x14ac:dyDescent="0.2">
      <c r="A100" t="s">
        <v>224</v>
      </c>
      <c r="B100" s="2" t="s">
        <v>324</v>
      </c>
      <c r="C100">
        <v>509</v>
      </c>
      <c r="D100" s="2" t="s">
        <v>324</v>
      </c>
      <c r="E100">
        <v>899</v>
      </c>
      <c r="F100" s="1">
        <v>0.43</v>
      </c>
      <c r="G100">
        <v>-5</v>
      </c>
      <c r="H100" t="s">
        <v>189</v>
      </c>
      <c r="I100">
        <f t="shared" si="27"/>
        <v>3</v>
      </c>
      <c r="J100" s="3">
        <f t="shared" si="28"/>
        <v>390</v>
      </c>
      <c r="K100" t="str">
        <f t="shared" si="29"/>
        <v>Average</v>
      </c>
      <c r="L100" s="4">
        <f t="shared" si="30"/>
        <v>0.56618464961067849</v>
      </c>
      <c r="M100" t="str">
        <f t="shared" si="31"/>
        <v>High Discount</v>
      </c>
      <c r="P100" s="7">
        <f t="shared" si="32"/>
        <v>0.59621473202020359</v>
      </c>
      <c r="Q100">
        <f t="shared" si="33"/>
        <v>2170</v>
      </c>
      <c r="R100">
        <f t="shared" si="34"/>
        <v>325</v>
      </c>
      <c r="S100">
        <f t="shared" si="35"/>
        <v>0.10906219158262867</v>
      </c>
    </row>
    <row r="101" spans="1:19" hidden="1" x14ac:dyDescent="0.2">
      <c r="A101" t="s">
        <v>243</v>
      </c>
      <c r="B101" s="2" t="s">
        <v>324</v>
      </c>
      <c r="C101" s="3">
        <v>1189</v>
      </c>
      <c r="D101" s="2" t="s">
        <v>324</v>
      </c>
      <c r="E101" s="3">
        <v>2199</v>
      </c>
      <c r="F101" s="1">
        <v>0.46</v>
      </c>
      <c r="G101">
        <v>-1</v>
      </c>
      <c r="H101" t="s">
        <v>189</v>
      </c>
      <c r="I101">
        <f t="shared" si="27"/>
        <v>3</v>
      </c>
      <c r="J101" s="3">
        <f t="shared" si="28"/>
        <v>1010</v>
      </c>
      <c r="K101" t="str">
        <f t="shared" si="29"/>
        <v>Average</v>
      </c>
      <c r="L101" s="4">
        <f t="shared" si="30"/>
        <v>0.540700318326512</v>
      </c>
      <c r="M101" t="str">
        <f t="shared" si="31"/>
        <v>High Discount</v>
      </c>
      <c r="P101" s="7">
        <f t="shared" si="32"/>
        <v>0.59394479729070637</v>
      </c>
      <c r="Q101">
        <f t="shared" si="33"/>
        <v>2170</v>
      </c>
      <c r="R101">
        <f t="shared" si="34"/>
        <v>325</v>
      </c>
      <c r="S101">
        <f t="shared" si="35"/>
        <v>0.10981499362130485</v>
      </c>
    </row>
    <row r="102" spans="1:19" hidden="1" x14ac:dyDescent="0.2">
      <c r="A102" t="s">
        <v>202</v>
      </c>
      <c r="B102" s="2" t="s">
        <v>324</v>
      </c>
      <c r="C102" s="3">
        <v>1220</v>
      </c>
      <c r="D102" s="2" t="s">
        <v>324</v>
      </c>
      <c r="E102" s="3">
        <v>1555</v>
      </c>
      <c r="F102" s="1">
        <v>0.22</v>
      </c>
      <c r="G102">
        <v>-16</v>
      </c>
      <c r="H102" t="s">
        <v>205</v>
      </c>
      <c r="I102">
        <f t="shared" si="27"/>
        <v>2.9</v>
      </c>
      <c r="J102" s="3">
        <f t="shared" si="28"/>
        <v>335</v>
      </c>
      <c r="K102" t="str">
        <f t="shared" si="29"/>
        <v>Poor</v>
      </c>
      <c r="L102" s="4">
        <f t="shared" si="30"/>
        <v>0.78456591639871387</v>
      </c>
      <c r="M102" t="str">
        <f t="shared" si="31"/>
        <v>High Discount</v>
      </c>
      <c r="P102" s="7">
        <f t="shared" si="32"/>
        <v>0.59315891113094321</v>
      </c>
      <c r="Q102">
        <f t="shared" si="33"/>
        <v>2170</v>
      </c>
      <c r="R102">
        <f t="shared" si="34"/>
        <v>325</v>
      </c>
      <c r="S102">
        <f t="shared" si="35"/>
        <v>0.12553592488331383</v>
      </c>
    </row>
    <row r="103" spans="1:19" hidden="1" x14ac:dyDescent="0.2">
      <c r="A103" t="s">
        <v>194</v>
      </c>
      <c r="B103" s="2" t="s">
        <v>324</v>
      </c>
      <c r="C103">
        <v>445</v>
      </c>
      <c r="D103" s="2" t="s">
        <v>324</v>
      </c>
      <c r="E103">
        <v>873</v>
      </c>
      <c r="F103" s="1">
        <v>0.49</v>
      </c>
      <c r="G103">
        <v>-69</v>
      </c>
      <c r="H103" t="s">
        <v>197</v>
      </c>
      <c r="I103">
        <f t="shared" si="27"/>
        <v>2.8</v>
      </c>
      <c r="J103" s="3">
        <f t="shared" si="28"/>
        <v>428</v>
      </c>
      <c r="K103" t="str">
        <f t="shared" si="29"/>
        <v>Poor</v>
      </c>
      <c r="L103" s="4">
        <f t="shared" si="30"/>
        <v>0.50973654066437568</v>
      </c>
      <c r="M103" t="str">
        <f t="shared" si="31"/>
        <v>High Discount</v>
      </c>
      <c r="P103" s="7">
        <f t="shared" si="32"/>
        <v>0.55598492041997494</v>
      </c>
      <c r="Q103">
        <f t="shared" si="33"/>
        <v>2170</v>
      </c>
      <c r="R103">
        <f t="shared" si="34"/>
        <v>325</v>
      </c>
      <c r="S103">
        <f t="shared" si="35"/>
        <v>0.1708076875895074</v>
      </c>
    </row>
    <row r="104" spans="1:19" hidden="1" x14ac:dyDescent="0.2">
      <c r="A104" t="s">
        <v>198</v>
      </c>
      <c r="B104" s="2" t="s">
        <v>324</v>
      </c>
      <c r="C104">
        <v>325</v>
      </c>
      <c r="D104" s="2" t="s">
        <v>324</v>
      </c>
      <c r="E104">
        <v>680</v>
      </c>
      <c r="F104" s="1">
        <v>0.52</v>
      </c>
      <c r="G104">
        <v>-15</v>
      </c>
      <c r="H104" t="s">
        <v>201</v>
      </c>
      <c r="I104">
        <f t="shared" si="27"/>
        <v>2.7</v>
      </c>
      <c r="J104" s="3">
        <f t="shared" si="28"/>
        <v>355</v>
      </c>
      <c r="K104" t="str">
        <f t="shared" si="29"/>
        <v>Poor</v>
      </c>
      <c r="L104" s="4">
        <f t="shared" si="30"/>
        <v>0.47794117647058826</v>
      </c>
      <c r="M104" t="str">
        <f t="shared" si="31"/>
        <v>High Discount</v>
      </c>
      <c r="P104" s="7">
        <f t="shared" si="32"/>
        <v>0.55772920186036057</v>
      </c>
      <c r="Q104">
        <f t="shared" si="33"/>
        <v>2170</v>
      </c>
      <c r="R104">
        <f t="shared" si="34"/>
        <v>325</v>
      </c>
      <c r="S104">
        <f t="shared" si="35"/>
        <v>0.2436570282772845</v>
      </c>
    </row>
    <row r="105" spans="1:19" hidden="1" x14ac:dyDescent="0.2">
      <c r="A105" t="s">
        <v>215</v>
      </c>
      <c r="B105" s="2" t="s">
        <v>324</v>
      </c>
      <c r="C105">
        <v>382</v>
      </c>
      <c r="D105" s="2" t="s">
        <v>324</v>
      </c>
      <c r="E105">
        <v>700</v>
      </c>
      <c r="F105" s="1">
        <v>0.45</v>
      </c>
      <c r="G105">
        <v>-17</v>
      </c>
      <c r="H105" t="s">
        <v>217</v>
      </c>
      <c r="I105">
        <f t="shared" si="27"/>
        <v>2.6</v>
      </c>
      <c r="J105" s="3">
        <f t="shared" si="28"/>
        <v>318</v>
      </c>
      <c r="K105" t="str">
        <f t="shared" si="29"/>
        <v>Poor</v>
      </c>
      <c r="L105" s="4">
        <f t="shared" si="30"/>
        <v>0.54571428571428571</v>
      </c>
      <c r="M105" t="str">
        <f t="shared" si="31"/>
        <v>High Discount</v>
      </c>
      <c r="P105" s="7">
        <f t="shared" si="32"/>
        <v>0.56018018225251742</v>
      </c>
      <c r="Q105">
        <f t="shared" si="33"/>
        <v>2170</v>
      </c>
      <c r="R105">
        <f t="shared" si="34"/>
        <v>345</v>
      </c>
      <c r="S105">
        <f t="shared" si="35"/>
        <v>0.16173764467575377</v>
      </c>
    </row>
    <row r="106" spans="1:19" hidden="1" x14ac:dyDescent="0.2">
      <c r="A106" t="s">
        <v>182</v>
      </c>
      <c r="B106" s="2" t="s">
        <v>324</v>
      </c>
      <c r="C106" s="3">
        <v>2170</v>
      </c>
      <c r="D106" s="2" t="s">
        <v>324</v>
      </c>
      <c r="E106" s="3">
        <v>2500</v>
      </c>
      <c r="F106" s="1">
        <v>0.13</v>
      </c>
      <c r="G106">
        <v>-6</v>
      </c>
      <c r="H106" t="s">
        <v>185</v>
      </c>
      <c r="I106">
        <f t="shared" si="27"/>
        <v>2.5</v>
      </c>
      <c r="J106" s="3">
        <f t="shared" si="28"/>
        <v>330</v>
      </c>
      <c r="K106" t="str">
        <f t="shared" si="29"/>
        <v>Poor</v>
      </c>
      <c r="L106" s="4">
        <f t="shared" si="30"/>
        <v>0.86799999999999999</v>
      </c>
      <c r="M106" t="str">
        <f t="shared" si="31"/>
        <v>High Discount</v>
      </c>
      <c r="P106" s="7">
        <f t="shared" si="32"/>
        <v>0.56198841931979626</v>
      </c>
      <c r="Q106">
        <f t="shared" si="33"/>
        <v>2170</v>
      </c>
      <c r="R106">
        <f t="shared" si="34"/>
        <v>345</v>
      </c>
      <c r="S106">
        <f t="shared" si="35"/>
        <v>0.1950756598661425</v>
      </c>
    </row>
    <row r="107" spans="1:19" hidden="1" x14ac:dyDescent="0.2">
      <c r="A107" t="s">
        <v>209</v>
      </c>
      <c r="B107" s="2" t="s">
        <v>324</v>
      </c>
      <c r="C107" s="3">
        <v>1000</v>
      </c>
      <c r="D107" s="2" t="s">
        <v>324</v>
      </c>
      <c r="E107" s="3">
        <v>2000</v>
      </c>
      <c r="F107" s="1">
        <v>0.5</v>
      </c>
      <c r="G107">
        <v>-7</v>
      </c>
      <c r="H107" t="s">
        <v>211</v>
      </c>
      <c r="I107">
        <f t="shared" si="27"/>
        <v>2.2999999999999998</v>
      </c>
      <c r="J107" s="3">
        <f t="shared" si="28"/>
        <v>1000</v>
      </c>
      <c r="K107" t="str">
        <f t="shared" si="29"/>
        <v>Poor</v>
      </c>
      <c r="L107" s="4">
        <f t="shared" si="30"/>
        <v>0.5</v>
      </c>
      <c r="M107" t="str">
        <f t="shared" si="31"/>
        <v>High Discount</v>
      </c>
      <c r="P107" s="7">
        <f t="shared" si="32"/>
        <v>0.51827247922262432</v>
      </c>
      <c r="Q107">
        <f t="shared" si="33"/>
        <v>2115</v>
      </c>
      <c r="R107">
        <f t="shared" si="34"/>
        <v>345</v>
      </c>
      <c r="S107">
        <f t="shared" si="35"/>
        <v>0.47831824796896572</v>
      </c>
    </row>
    <row r="108" spans="1:19" hidden="1" x14ac:dyDescent="0.2">
      <c r="A108" t="s">
        <v>221</v>
      </c>
      <c r="B108" s="2" t="s">
        <v>324</v>
      </c>
      <c r="C108">
        <v>345</v>
      </c>
      <c r="D108" s="2" t="s">
        <v>324</v>
      </c>
      <c r="E108">
        <v>602</v>
      </c>
      <c r="F108" s="1">
        <v>0.43</v>
      </c>
      <c r="G108">
        <v>-6</v>
      </c>
      <c r="H108" t="s">
        <v>211</v>
      </c>
      <c r="I108">
        <f t="shared" si="27"/>
        <v>2.2999999999999998</v>
      </c>
      <c r="J108" s="3">
        <f t="shared" si="28"/>
        <v>257</v>
      </c>
      <c r="K108" t="str">
        <f t="shared" si="29"/>
        <v>Poor</v>
      </c>
      <c r="L108" s="4">
        <f t="shared" si="30"/>
        <v>0.57308970099667778</v>
      </c>
      <c r="M108" t="str">
        <f t="shared" si="31"/>
        <v>High Discount</v>
      </c>
      <c r="P108" s="7">
        <f t="shared" si="32"/>
        <v>0.52131789242639504</v>
      </c>
      <c r="Q108">
        <f t="shared" si="33"/>
        <v>2115</v>
      </c>
      <c r="R108">
        <f t="shared" si="34"/>
        <v>345</v>
      </c>
      <c r="S108">
        <f t="shared" si="35"/>
        <v>0.47804491524069692</v>
      </c>
    </row>
    <row r="109" spans="1:19" s="16" customFormat="1" hidden="1" x14ac:dyDescent="0.2">
      <c r="A109" s="18" t="s">
        <v>206</v>
      </c>
      <c r="B109" s="19" t="s">
        <v>324</v>
      </c>
      <c r="C109" s="20">
        <v>990</v>
      </c>
      <c r="D109" s="19" t="s">
        <v>324</v>
      </c>
      <c r="E109" s="21">
        <v>1814</v>
      </c>
      <c r="F109" s="22">
        <v>0.45</v>
      </c>
      <c r="G109" s="20">
        <v>-6</v>
      </c>
      <c r="H109" s="20" t="s">
        <v>208</v>
      </c>
      <c r="I109" s="20">
        <f t="shared" si="27"/>
        <v>2.2000000000000002</v>
      </c>
      <c r="J109" s="21">
        <f t="shared" si="28"/>
        <v>824</v>
      </c>
      <c r="K109" s="20" t="str">
        <f t="shared" si="29"/>
        <v>Poor</v>
      </c>
      <c r="L109" s="23">
        <f t="shared" si="30"/>
        <v>0.54575523704520401</v>
      </c>
      <c r="M109" s="24" t="str">
        <f t="shared" si="31"/>
        <v>High Discount</v>
      </c>
      <c r="P109" s="17">
        <f t="shared" si="32"/>
        <v>0.51096353071233858</v>
      </c>
      <c r="Q109" s="16">
        <f t="shared" si="33"/>
        <v>2115</v>
      </c>
      <c r="R109" s="16">
        <f t="shared" si="34"/>
        <v>450</v>
      </c>
      <c r="S109" s="16">
        <f t="shared" si="35"/>
        <v>0.55000637905219163</v>
      </c>
    </row>
    <row r="110" spans="1:19" s="16" customFormat="1" hidden="1" x14ac:dyDescent="0.2">
      <c r="A110" s="25" t="s">
        <v>227</v>
      </c>
      <c r="B110" s="26" t="s">
        <v>324</v>
      </c>
      <c r="C110" s="27">
        <v>968</v>
      </c>
      <c r="D110" s="26" t="s">
        <v>324</v>
      </c>
      <c r="E110" s="28">
        <v>1814</v>
      </c>
      <c r="F110" s="29">
        <v>0.47</v>
      </c>
      <c r="G110" s="27">
        <v>-6</v>
      </c>
      <c r="H110" s="27" t="s">
        <v>208</v>
      </c>
      <c r="I110" s="27">
        <f t="shared" si="27"/>
        <v>2.2000000000000002</v>
      </c>
      <c r="J110" s="28">
        <f t="shared" si="28"/>
        <v>846</v>
      </c>
      <c r="K110" s="27" t="str">
        <f t="shared" si="29"/>
        <v>Poor</v>
      </c>
      <c r="L110" s="30">
        <f t="shared" si="30"/>
        <v>0.53362734288864389</v>
      </c>
      <c r="M110" s="31" t="str">
        <f t="shared" si="31"/>
        <v>High Discount</v>
      </c>
      <c r="P110" s="17">
        <f t="shared" si="32"/>
        <v>0.50226560412912213</v>
      </c>
      <c r="Q110" s="16">
        <f t="shared" si="33"/>
        <v>2115</v>
      </c>
      <c r="R110" s="16">
        <f t="shared" si="34"/>
        <v>450</v>
      </c>
      <c r="S110" s="16">
        <f t="shared" si="35"/>
        <v>0.5954199197980472</v>
      </c>
    </row>
    <row r="111" spans="1:19" s="16" customFormat="1" hidden="1" x14ac:dyDescent="0.2">
      <c r="A111" s="25" t="s">
        <v>190</v>
      </c>
      <c r="B111" s="26" t="s">
        <v>324</v>
      </c>
      <c r="C111" s="28">
        <v>2115</v>
      </c>
      <c r="D111" s="26" t="s">
        <v>324</v>
      </c>
      <c r="E111" s="28">
        <v>4700</v>
      </c>
      <c r="F111" s="29">
        <v>0.55000000000000004</v>
      </c>
      <c r="G111" s="27">
        <v>-13</v>
      </c>
      <c r="H111" s="27" t="s">
        <v>193</v>
      </c>
      <c r="I111" s="27">
        <f t="shared" si="27"/>
        <v>2.1</v>
      </c>
      <c r="J111" s="28">
        <f t="shared" si="28"/>
        <v>2585</v>
      </c>
      <c r="K111" s="27" t="str">
        <f t="shared" si="29"/>
        <v>Poor</v>
      </c>
      <c r="L111" s="30">
        <f t="shared" si="30"/>
        <v>0.45</v>
      </c>
      <c r="M111" s="31" t="str">
        <f t="shared" si="31"/>
        <v>High Discount</v>
      </c>
      <c r="P111" s="17">
        <f t="shared" si="32"/>
        <v>0.49181169120928159</v>
      </c>
      <c r="Q111" s="16">
        <f t="shared" si="33"/>
        <v>2115</v>
      </c>
      <c r="R111" s="16">
        <f t="shared" si="34"/>
        <v>450</v>
      </c>
      <c r="S111" s="16">
        <f t="shared" si="35"/>
        <v>0.65140868134542496</v>
      </c>
    </row>
    <row r="112" spans="1:19" s="16" customFormat="1" hidden="1" x14ac:dyDescent="0.2">
      <c r="A112" s="25" t="s">
        <v>229</v>
      </c>
      <c r="B112" s="26" t="s">
        <v>324</v>
      </c>
      <c r="C112" s="28">
        <v>1570</v>
      </c>
      <c r="D112" s="26" t="s">
        <v>324</v>
      </c>
      <c r="E112" s="28">
        <v>2988</v>
      </c>
      <c r="F112" s="29">
        <v>0.47</v>
      </c>
      <c r="G112" s="27">
        <v>-7</v>
      </c>
      <c r="H112" s="27" t="s">
        <v>193</v>
      </c>
      <c r="I112" s="27">
        <f t="shared" si="27"/>
        <v>2.1</v>
      </c>
      <c r="J112" s="28">
        <f t="shared" si="28"/>
        <v>1418</v>
      </c>
      <c r="K112" s="27" t="str">
        <f t="shared" si="29"/>
        <v>Poor</v>
      </c>
      <c r="L112" s="30">
        <f t="shared" si="30"/>
        <v>0.5254350736278447</v>
      </c>
      <c r="M112" s="31" t="str">
        <f t="shared" si="31"/>
        <v>High Discount</v>
      </c>
      <c r="P112" s="17">
        <f t="shared" si="32"/>
        <v>0.51271753681392229</v>
      </c>
      <c r="Q112" s="16">
        <f t="shared" si="33"/>
        <v>1570</v>
      </c>
      <c r="R112" s="16">
        <f t="shared" si="34"/>
        <v>450</v>
      </c>
      <c r="S112" s="16">
        <f t="shared" si="35"/>
        <v>-1</v>
      </c>
    </row>
    <row r="113" spans="1:19" s="16" customFormat="1" hidden="1" x14ac:dyDescent="0.2">
      <c r="A113" s="25" t="s">
        <v>318</v>
      </c>
      <c r="B113" s="26" t="s">
        <v>324</v>
      </c>
      <c r="C113" s="27">
        <v>450</v>
      </c>
      <c r="D113" s="26" t="s">
        <v>324</v>
      </c>
      <c r="E113" s="27">
        <v>900</v>
      </c>
      <c r="F113" s="29">
        <v>0.5</v>
      </c>
      <c r="G113" s="27">
        <v>-1</v>
      </c>
      <c r="H113" s="27" t="s">
        <v>319</v>
      </c>
      <c r="I113" s="27">
        <f t="shared" si="27"/>
        <v>2</v>
      </c>
      <c r="J113" s="28">
        <f t="shared" si="28"/>
        <v>450</v>
      </c>
      <c r="K113" s="27" t="str">
        <f t="shared" si="29"/>
        <v>Poor</v>
      </c>
      <c r="L113" s="30">
        <f t="shared" si="30"/>
        <v>0.5</v>
      </c>
      <c r="M113" s="31" t="str">
        <f t="shared" si="31"/>
        <v>High Discount</v>
      </c>
      <c r="P113" s="17">
        <f t="shared" si="32"/>
        <v>0.5</v>
      </c>
      <c r="Q113" s="16">
        <f t="shared" si="33"/>
        <v>450</v>
      </c>
      <c r="R113" s="16">
        <f t="shared" si="34"/>
        <v>450</v>
      </c>
      <c r="S113" s="16" t="e">
        <f t="shared" si="35"/>
        <v>#DIV/0!</v>
      </c>
    </row>
    <row r="114" spans="1:19" x14ac:dyDescent="0.2">
      <c r="L114" s="4"/>
    </row>
  </sheetData>
  <sortState ref="A2:T114">
    <sortCondition descending="1" ref="I2:I114"/>
  </sortState>
  <pageMargins left="0.7" right="0.7" top="0.75" bottom="0.75" header="0.3" footer="0.3"/>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6"/>
  <sheetViews>
    <sheetView topLeftCell="B96" workbookViewId="0">
      <selection activeCell="F104" sqref="F104"/>
    </sheetView>
  </sheetViews>
  <sheetFormatPr baseColWidth="10" defaultColWidth="8.83203125" defaultRowHeight="15" x14ac:dyDescent="0.2"/>
  <cols>
    <col min="1" max="1" width="89.1640625" bestFit="1" customWidth="1"/>
    <col min="2" max="3" width="18.33203125" bestFit="1" customWidth="1"/>
    <col min="4" max="4" width="8.1640625" bestFit="1" customWidth="1"/>
    <col min="5" max="5" width="6.6640625" bestFit="1" customWidth="1"/>
    <col min="6" max="6" width="10.33203125" bestFit="1" customWidth="1"/>
  </cols>
  <sheetData>
    <row r="1" spans="1:6" x14ac:dyDescent="0.2">
      <c r="A1" t="s">
        <v>0</v>
      </c>
      <c r="B1" t="s">
        <v>1</v>
      </c>
      <c r="C1" t="s">
        <v>2</v>
      </c>
      <c r="D1" t="s">
        <v>3</v>
      </c>
      <c r="E1" t="s">
        <v>4</v>
      </c>
      <c r="F1" t="s">
        <v>5</v>
      </c>
    </row>
    <row r="2" spans="1:6" x14ac:dyDescent="0.2">
      <c r="A2" t="s">
        <v>6</v>
      </c>
      <c r="B2" t="s">
        <v>7</v>
      </c>
      <c r="C2" t="s">
        <v>8</v>
      </c>
      <c r="D2" s="1">
        <v>0.38</v>
      </c>
      <c r="E2">
        <v>-2</v>
      </c>
      <c r="F2" t="s">
        <v>9</v>
      </c>
    </row>
    <row r="3" spans="1:6" x14ac:dyDescent="0.2">
      <c r="A3" t="s">
        <v>10</v>
      </c>
      <c r="B3" t="s">
        <v>11</v>
      </c>
      <c r="C3" t="s">
        <v>12</v>
      </c>
      <c r="D3" s="1">
        <v>0.47</v>
      </c>
      <c r="E3">
        <v>-14</v>
      </c>
      <c r="F3" t="s">
        <v>13</v>
      </c>
    </row>
    <row r="4" spans="1:6" x14ac:dyDescent="0.2">
      <c r="A4" t="s">
        <v>14</v>
      </c>
      <c r="B4" t="s">
        <v>15</v>
      </c>
      <c r="C4" t="s">
        <v>16</v>
      </c>
      <c r="D4" s="1">
        <v>0.25</v>
      </c>
      <c r="E4">
        <v>-24</v>
      </c>
      <c r="F4" t="s">
        <v>17</v>
      </c>
    </row>
    <row r="5" spans="1:6" x14ac:dyDescent="0.2">
      <c r="A5" t="s">
        <v>18</v>
      </c>
      <c r="B5" t="s">
        <v>19</v>
      </c>
      <c r="C5" t="s">
        <v>20</v>
      </c>
      <c r="D5" s="1">
        <v>0.37</v>
      </c>
      <c r="E5">
        <v>-7</v>
      </c>
      <c r="F5" t="s">
        <v>21</v>
      </c>
    </row>
    <row r="6" spans="1:6" x14ac:dyDescent="0.2">
      <c r="A6" t="s">
        <v>22</v>
      </c>
      <c r="B6" t="s">
        <v>23</v>
      </c>
      <c r="C6" t="s">
        <v>24</v>
      </c>
      <c r="D6" s="1">
        <v>0.26</v>
      </c>
      <c r="E6">
        <v>-5</v>
      </c>
      <c r="F6" t="s">
        <v>25</v>
      </c>
    </row>
    <row r="7" spans="1:6" x14ac:dyDescent="0.2">
      <c r="A7" t="s">
        <v>26</v>
      </c>
      <c r="B7" t="s">
        <v>27</v>
      </c>
      <c r="C7" t="s">
        <v>28</v>
      </c>
      <c r="D7" s="1">
        <v>0.09</v>
      </c>
      <c r="E7">
        <v>-15</v>
      </c>
      <c r="F7" t="s">
        <v>29</v>
      </c>
    </row>
    <row r="8" spans="1:6" x14ac:dyDescent="0.2">
      <c r="A8" t="s">
        <v>30</v>
      </c>
      <c r="B8" t="s">
        <v>31</v>
      </c>
      <c r="C8" t="s">
        <v>32</v>
      </c>
      <c r="D8" s="1">
        <v>0.24</v>
      </c>
      <c r="E8">
        <v>-55</v>
      </c>
      <c r="F8" t="s">
        <v>17</v>
      </c>
    </row>
    <row r="9" spans="1:6" x14ac:dyDescent="0.2">
      <c r="A9" t="s">
        <v>33</v>
      </c>
      <c r="B9" t="s">
        <v>34</v>
      </c>
      <c r="C9" t="s">
        <v>19</v>
      </c>
      <c r="D9" s="1">
        <v>0.37</v>
      </c>
      <c r="E9">
        <v>-2</v>
      </c>
      <c r="F9" t="s">
        <v>29</v>
      </c>
    </row>
    <row r="10" spans="1:6" x14ac:dyDescent="0.2">
      <c r="A10" t="s">
        <v>35</v>
      </c>
      <c r="B10" t="s">
        <v>36</v>
      </c>
      <c r="C10" t="s">
        <v>37</v>
      </c>
      <c r="D10" s="1">
        <v>0.55000000000000004</v>
      </c>
      <c r="E10">
        <v>-5</v>
      </c>
      <c r="F10" t="s">
        <v>25</v>
      </c>
    </row>
    <row r="11" spans="1:6" x14ac:dyDescent="0.2">
      <c r="A11" t="s">
        <v>38</v>
      </c>
      <c r="B11" t="s">
        <v>39</v>
      </c>
      <c r="C11" t="s">
        <v>40</v>
      </c>
      <c r="D11" s="1">
        <v>0.45</v>
      </c>
      <c r="E11">
        <v>-5</v>
      </c>
      <c r="F11" t="s">
        <v>41</v>
      </c>
    </row>
    <row r="12" spans="1:6" x14ac:dyDescent="0.2">
      <c r="A12" t="s">
        <v>42</v>
      </c>
      <c r="B12" t="s">
        <v>43</v>
      </c>
      <c r="C12" t="s">
        <v>12</v>
      </c>
      <c r="D12" s="1">
        <v>0.2</v>
      </c>
      <c r="E12">
        <v>-12</v>
      </c>
      <c r="F12" t="s">
        <v>13</v>
      </c>
    </row>
    <row r="13" spans="1:6" x14ac:dyDescent="0.2">
      <c r="A13" t="s">
        <v>44</v>
      </c>
      <c r="B13" t="s">
        <v>45</v>
      </c>
      <c r="C13" t="s">
        <v>46</v>
      </c>
      <c r="D13" s="1">
        <v>0.34</v>
      </c>
      <c r="E13">
        <v>-39</v>
      </c>
      <c r="F13" t="s">
        <v>21</v>
      </c>
    </row>
    <row r="14" spans="1:6" x14ac:dyDescent="0.2">
      <c r="A14" t="s">
        <v>47</v>
      </c>
      <c r="B14" t="s">
        <v>48</v>
      </c>
      <c r="C14" t="s">
        <v>49</v>
      </c>
      <c r="D14" s="1">
        <v>0.47</v>
      </c>
      <c r="E14">
        <v>-12</v>
      </c>
      <c r="F14" t="s">
        <v>25</v>
      </c>
    </row>
    <row r="15" spans="1:6" x14ac:dyDescent="0.2">
      <c r="A15" t="s">
        <v>50</v>
      </c>
      <c r="B15" t="s">
        <v>51</v>
      </c>
      <c r="C15" t="s">
        <v>52</v>
      </c>
      <c r="D15" s="1">
        <v>0.42</v>
      </c>
      <c r="E15">
        <v>-6</v>
      </c>
      <c r="F15" t="s">
        <v>9</v>
      </c>
    </row>
    <row r="16" spans="1:6" x14ac:dyDescent="0.2">
      <c r="A16" t="s">
        <v>53</v>
      </c>
      <c r="B16" t="s">
        <v>54</v>
      </c>
      <c r="C16" t="s">
        <v>20</v>
      </c>
      <c r="D16" s="1">
        <v>0.33</v>
      </c>
      <c r="E16">
        <v>-9</v>
      </c>
      <c r="F16" t="s">
        <v>55</v>
      </c>
    </row>
    <row r="17" spans="1:6" x14ac:dyDescent="0.2">
      <c r="A17" t="s">
        <v>56</v>
      </c>
      <c r="B17" t="s">
        <v>57</v>
      </c>
      <c r="C17" t="s">
        <v>58</v>
      </c>
      <c r="D17" s="1">
        <v>0.51</v>
      </c>
      <c r="E17">
        <v>-2</v>
      </c>
      <c r="F17" t="s">
        <v>59</v>
      </c>
    </row>
    <row r="18" spans="1:6" x14ac:dyDescent="0.2">
      <c r="A18" t="s">
        <v>60</v>
      </c>
      <c r="B18" t="s">
        <v>61</v>
      </c>
      <c r="C18" t="s">
        <v>62</v>
      </c>
      <c r="D18" s="1">
        <v>0.46</v>
      </c>
      <c r="E18">
        <v>-2</v>
      </c>
      <c r="F18" t="s">
        <v>59</v>
      </c>
    </row>
    <row r="19" spans="1:6" x14ac:dyDescent="0.2">
      <c r="A19" t="s">
        <v>63</v>
      </c>
      <c r="B19" t="s">
        <v>64</v>
      </c>
      <c r="C19" t="s">
        <v>65</v>
      </c>
      <c r="D19" s="1">
        <v>0.49</v>
      </c>
      <c r="E19">
        <v>-3</v>
      </c>
      <c r="F19" t="s">
        <v>59</v>
      </c>
    </row>
    <row r="20" spans="1:6" x14ac:dyDescent="0.2">
      <c r="A20" t="s">
        <v>66</v>
      </c>
      <c r="B20" t="s">
        <v>27</v>
      </c>
      <c r="C20" t="s">
        <v>67</v>
      </c>
      <c r="D20" s="1">
        <v>0.19</v>
      </c>
      <c r="E20">
        <v>-5</v>
      </c>
      <c r="F20" t="s">
        <v>17</v>
      </c>
    </row>
    <row r="21" spans="1:6" x14ac:dyDescent="0.2">
      <c r="A21" t="s">
        <v>68</v>
      </c>
      <c r="B21" t="s">
        <v>69</v>
      </c>
      <c r="C21" t="s">
        <v>70</v>
      </c>
      <c r="D21" s="1">
        <v>0.49</v>
      </c>
      <c r="E21">
        <v>-44</v>
      </c>
      <c r="F21" t="s">
        <v>17</v>
      </c>
    </row>
    <row r="22" spans="1:6" x14ac:dyDescent="0.2">
      <c r="A22" t="s">
        <v>71</v>
      </c>
      <c r="B22" t="s">
        <v>72</v>
      </c>
      <c r="C22" t="s">
        <v>73</v>
      </c>
      <c r="D22" s="1">
        <v>0.53</v>
      </c>
      <c r="E22">
        <v>-13</v>
      </c>
      <c r="F22" t="s">
        <v>74</v>
      </c>
    </row>
    <row r="23" spans="1:6" x14ac:dyDescent="0.2">
      <c r="A23" t="s">
        <v>75</v>
      </c>
      <c r="B23" t="s">
        <v>76</v>
      </c>
      <c r="C23" t="s">
        <v>77</v>
      </c>
      <c r="D23" s="1">
        <v>0.42</v>
      </c>
    </row>
    <row r="24" spans="1:6" x14ac:dyDescent="0.2">
      <c r="A24" t="s">
        <v>78</v>
      </c>
      <c r="B24" t="s">
        <v>79</v>
      </c>
      <c r="C24" t="s">
        <v>80</v>
      </c>
      <c r="D24" s="1">
        <v>0.35</v>
      </c>
      <c r="E24">
        <v>-6</v>
      </c>
      <c r="F24" t="s">
        <v>29</v>
      </c>
    </row>
    <row r="25" spans="1:6" x14ac:dyDescent="0.2">
      <c r="A25" t="s">
        <v>81</v>
      </c>
      <c r="B25" t="s">
        <v>82</v>
      </c>
      <c r="C25" t="s">
        <v>83</v>
      </c>
      <c r="D25" s="1">
        <v>0.23</v>
      </c>
      <c r="E25">
        <v>-14</v>
      </c>
      <c r="F25" t="s">
        <v>84</v>
      </c>
    </row>
    <row r="26" spans="1:6" x14ac:dyDescent="0.2">
      <c r="A26" t="s">
        <v>85</v>
      </c>
      <c r="B26" t="s">
        <v>86</v>
      </c>
      <c r="C26" t="s">
        <v>87</v>
      </c>
      <c r="D26" s="1">
        <v>0.54</v>
      </c>
      <c r="E26">
        <v>-7</v>
      </c>
      <c r="F26" t="s">
        <v>88</v>
      </c>
    </row>
    <row r="27" spans="1:6" x14ac:dyDescent="0.2">
      <c r="A27" t="s">
        <v>89</v>
      </c>
      <c r="B27" t="s">
        <v>90</v>
      </c>
      <c r="C27" t="s">
        <v>91</v>
      </c>
      <c r="D27" s="1">
        <v>0.35</v>
      </c>
      <c r="E27">
        <v>-49</v>
      </c>
      <c r="F27" t="s">
        <v>17</v>
      </c>
    </row>
    <row r="28" spans="1:6" x14ac:dyDescent="0.2">
      <c r="A28" t="s">
        <v>92</v>
      </c>
      <c r="B28" t="s">
        <v>93</v>
      </c>
      <c r="C28" t="s">
        <v>94</v>
      </c>
      <c r="D28" s="1">
        <v>0.18</v>
      </c>
      <c r="E28">
        <v>-12</v>
      </c>
      <c r="F28" t="s">
        <v>41</v>
      </c>
    </row>
    <row r="29" spans="1:6" x14ac:dyDescent="0.2">
      <c r="A29" t="s">
        <v>95</v>
      </c>
      <c r="B29" t="s">
        <v>80</v>
      </c>
      <c r="C29" t="s">
        <v>96</v>
      </c>
      <c r="D29" s="1">
        <v>0.32</v>
      </c>
      <c r="E29">
        <v>-13</v>
      </c>
      <c r="F29" t="s">
        <v>41</v>
      </c>
    </row>
    <row r="30" spans="1:6" x14ac:dyDescent="0.2">
      <c r="A30" t="s">
        <v>97</v>
      </c>
      <c r="B30" t="s">
        <v>98</v>
      </c>
      <c r="C30" t="s">
        <v>20</v>
      </c>
      <c r="D30" s="1">
        <v>0.3</v>
      </c>
      <c r="E30">
        <v>-20</v>
      </c>
      <c r="F30" t="s">
        <v>13</v>
      </c>
    </row>
    <row r="31" spans="1:6" x14ac:dyDescent="0.2">
      <c r="A31" t="s">
        <v>99</v>
      </c>
      <c r="B31" t="s">
        <v>100</v>
      </c>
      <c r="C31" t="s">
        <v>101</v>
      </c>
      <c r="D31" s="1">
        <v>0.46</v>
      </c>
    </row>
    <row r="32" spans="1:6" x14ac:dyDescent="0.2">
      <c r="A32" t="s">
        <v>102</v>
      </c>
      <c r="B32" t="s">
        <v>103</v>
      </c>
      <c r="C32" t="s">
        <v>104</v>
      </c>
      <c r="D32" s="1">
        <v>0.52</v>
      </c>
      <c r="E32">
        <v>-9</v>
      </c>
      <c r="F32" t="s">
        <v>88</v>
      </c>
    </row>
    <row r="33" spans="1:6" x14ac:dyDescent="0.2">
      <c r="A33" t="s">
        <v>105</v>
      </c>
      <c r="B33" t="s">
        <v>106</v>
      </c>
      <c r="C33" t="s">
        <v>107</v>
      </c>
      <c r="D33" s="1">
        <v>0.34</v>
      </c>
      <c r="E33">
        <v>-12</v>
      </c>
      <c r="F33" t="s">
        <v>21</v>
      </c>
    </row>
    <row r="34" spans="1:6" x14ac:dyDescent="0.2">
      <c r="A34" t="s">
        <v>108</v>
      </c>
      <c r="B34" t="s">
        <v>109</v>
      </c>
      <c r="C34" t="s">
        <v>110</v>
      </c>
      <c r="D34" s="1">
        <v>0.48</v>
      </c>
      <c r="E34">
        <v>-9</v>
      </c>
      <c r="F34" t="s">
        <v>88</v>
      </c>
    </row>
    <row r="35" spans="1:6" x14ac:dyDescent="0.2">
      <c r="A35" t="s">
        <v>111</v>
      </c>
      <c r="B35" t="s">
        <v>112</v>
      </c>
      <c r="C35" t="s">
        <v>113</v>
      </c>
      <c r="D35" s="1">
        <v>0.27</v>
      </c>
      <c r="E35">
        <v>-20</v>
      </c>
      <c r="F35" t="s">
        <v>21</v>
      </c>
    </row>
    <row r="36" spans="1:6" x14ac:dyDescent="0.2">
      <c r="A36" t="s">
        <v>114</v>
      </c>
      <c r="B36" t="s">
        <v>115</v>
      </c>
      <c r="C36" t="s">
        <v>116</v>
      </c>
      <c r="D36" s="1">
        <v>0.27</v>
      </c>
      <c r="E36">
        <v>-32</v>
      </c>
      <c r="F36" t="s">
        <v>9</v>
      </c>
    </row>
    <row r="37" spans="1:6" x14ac:dyDescent="0.2">
      <c r="A37" t="s">
        <v>117</v>
      </c>
      <c r="B37" t="s">
        <v>118</v>
      </c>
      <c r="C37" t="s">
        <v>119</v>
      </c>
      <c r="D37" s="1">
        <v>0.4</v>
      </c>
      <c r="E37">
        <v>-1</v>
      </c>
      <c r="F37" t="s">
        <v>59</v>
      </c>
    </row>
    <row r="38" spans="1:6" x14ac:dyDescent="0.2">
      <c r="A38" t="s">
        <v>120</v>
      </c>
      <c r="B38" t="s">
        <v>121</v>
      </c>
      <c r="C38" t="s">
        <v>62</v>
      </c>
      <c r="D38" s="1">
        <v>0.53</v>
      </c>
      <c r="E38">
        <v>-2</v>
      </c>
      <c r="F38" t="s">
        <v>59</v>
      </c>
    </row>
    <row r="39" spans="1:6" x14ac:dyDescent="0.2">
      <c r="A39" t="s">
        <v>122</v>
      </c>
      <c r="B39" t="s">
        <v>123</v>
      </c>
      <c r="C39" t="s">
        <v>124</v>
      </c>
      <c r="D39" s="1">
        <v>0.41</v>
      </c>
      <c r="E39">
        <v>-36</v>
      </c>
      <c r="F39" t="s">
        <v>88</v>
      </c>
    </row>
    <row r="40" spans="1:6" x14ac:dyDescent="0.2">
      <c r="A40" t="s">
        <v>125</v>
      </c>
      <c r="B40" t="s">
        <v>126</v>
      </c>
      <c r="C40" t="s">
        <v>127</v>
      </c>
      <c r="D40" s="1">
        <v>0.38</v>
      </c>
      <c r="E40">
        <v>-2</v>
      </c>
      <c r="F40" t="s">
        <v>9</v>
      </c>
    </row>
    <row r="41" spans="1:6" x14ac:dyDescent="0.2">
      <c r="A41" t="s">
        <v>128</v>
      </c>
      <c r="B41" t="s">
        <v>129</v>
      </c>
      <c r="C41" t="s">
        <v>130</v>
      </c>
      <c r="D41" s="1">
        <v>0.38</v>
      </c>
    </row>
    <row r="42" spans="1:6" x14ac:dyDescent="0.2">
      <c r="A42" t="s">
        <v>131</v>
      </c>
      <c r="B42" t="s">
        <v>132</v>
      </c>
      <c r="C42" t="s">
        <v>133</v>
      </c>
      <c r="D42" s="1">
        <v>0.49</v>
      </c>
    </row>
    <row r="43" spans="1:6" x14ac:dyDescent="0.2">
      <c r="A43" t="s">
        <v>134</v>
      </c>
      <c r="B43" t="s">
        <v>135</v>
      </c>
      <c r="C43" t="s">
        <v>136</v>
      </c>
      <c r="D43" s="1">
        <v>0.5</v>
      </c>
    </row>
    <row r="44" spans="1:6" x14ac:dyDescent="0.2">
      <c r="A44" t="s">
        <v>137</v>
      </c>
      <c r="B44" t="s">
        <v>138</v>
      </c>
      <c r="C44" t="s">
        <v>139</v>
      </c>
      <c r="D44" s="1">
        <v>0.42</v>
      </c>
    </row>
    <row r="45" spans="1:6" x14ac:dyDescent="0.2">
      <c r="A45" t="s">
        <v>137</v>
      </c>
      <c r="B45" t="s">
        <v>138</v>
      </c>
      <c r="C45" t="s">
        <v>139</v>
      </c>
      <c r="D45" s="1">
        <v>0.42</v>
      </c>
    </row>
    <row r="46" spans="1:6" x14ac:dyDescent="0.2">
      <c r="A46" t="s">
        <v>140</v>
      </c>
      <c r="B46" t="s">
        <v>141</v>
      </c>
      <c r="C46" t="s">
        <v>142</v>
      </c>
      <c r="D46" s="1">
        <v>0.02</v>
      </c>
    </row>
    <row r="47" spans="1:6" x14ac:dyDescent="0.2">
      <c r="A47" t="s">
        <v>143</v>
      </c>
      <c r="B47" t="s">
        <v>12</v>
      </c>
      <c r="C47" t="s">
        <v>144</v>
      </c>
      <c r="D47" s="1">
        <v>0.5</v>
      </c>
    </row>
    <row r="48" spans="1:6" x14ac:dyDescent="0.2">
      <c r="A48" t="s">
        <v>145</v>
      </c>
      <c r="B48" t="s">
        <v>146</v>
      </c>
      <c r="C48" t="s">
        <v>147</v>
      </c>
      <c r="D48" s="1">
        <v>0.33</v>
      </c>
    </row>
    <row r="49" spans="1:6" x14ac:dyDescent="0.2">
      <c r="A49" t="s">
        <v>148</v>
      </c>
      <c r="B49" t="s">
        <v>149</v>
      </c>
      <c r="C49" t="s">
        <v>150</v>
      </c>
      <c r="D49" s="1">
        <v>0.49</v>
      </c>
    </row>
    <row r="50" spans="1:6" x14ac:dyDescent="0.2">
      <c r="A50" t="s">
        <v>151</v>
      </c>
      <c r="B50" t="s">
        <v>152</v>
      </c>
      <c r="C50" t="s">
        <v>153</v>
      </c>
      <c r="D50" s="1">
        <v>0.38</v>
      </c>
    </row>
    <row r="51" spans="1:6" x14ac:dyDescent="0.2">
      <c r="A51" t="s">
        <v>154</v>
      </c>
      <c r="B51" t="s">
        <v>155</v>
      </c>
      <c r="C51" t="s">
        <v>156</v>
      </c>
      <c r="D51" s="1">
        <v>0.61</v>
      </c>
    </row>
    <row r="52" spans="1:6" x14ac:dyDescent="0.2">
      <c r="A52" t="s">
        <v>157</v>
      </c>
      <c r="B52" t="s">
        <v>158</v>
      </c>
      <c r="C52" t="s">
        <v>159</v>
      </c>
      <c r="D52" s="1">
        <v>0.5</v>
      </c>
    </row>
    <row r="53" spans="1:6" x14ac:dyDescent="0.2">
      <c r="A53" t="s">
        <v>160</v>
      </c>
      <c r="B53" t="s">
        <v>161</v>
      </c>
      <c r="C53" t="s">
        <v>162</v>
      </c>
      <c r="D53" s="1">
        <v>0.02</v>
      </c>
    </row>
    <row r="54" spans="1:6" x14ac:dyDescent="0.2">
      <c r="A54" t="s">
        <v>163</v>
      </c>
      <c r="B54" t="s">
        <v>158</v>
      </c>
      <c r="C54" t="s">
        <v>164</v>
      </c>
      <c r="D54" s="1">
        <v>0.22</v>
      </c>
    </row>
    <row r="55" spans="1:6" x14ac:dyDescent="0.2">
      <c r="A55" t="s">
        <v>165</v>
      </c>
      <c r="B55" t="s">
        <v>166</v>
      </c>
      <c r="C55" t="s">
        <v>167</v>
      </c>
      <c r="D55" s="1">
        <v>0.03</v>
      </c>
    </row>
    <row r="56" spans="1:6" x14ac:dyDescent="0.2">
      <c r="A56" t="s">
        <v>168</v>
      </c>
      <c r="B56" t="s">
        <v>43</v>
      </c>
      <c r="C56" t="s">
        <v>169</v>
      </c>
      <c r="D56" s="1">
        <v>0.41</v>
      </c>
    </row>
    <row r="57" spans="1:6" x14ac:dyDescent="0.2">
      <c r="A57" t="s">
        <v>170</v>
      </c>
      <c r="B57" t="s">
        <v>171</v>
      </c>
      <c r="C57" t="s">
        <v>172</v>
      </c>
      <c r="D57" s="1">
        <v>0.45</v>
      </c>
    </row>
    <row r="58" spans="1:6" x14ac:dyDescent="0.2">
      <c r="A58" t="s">
        <v>173</v>
      </c>
      <c r="B58" t="s">
        <v>174</v>
      </c>
      <c r="C58" t="s">
        <v>169</v>
      </c>
      <c r="D58" s="1">
        <v>0.48</v>
      </c>
    </row>
    <row r="59" spans="1:6" x14ac:dyDescent="0.2">
      <c r="A59" t="s">
        <v>175</v>
      </c>
      <c r="B59" t="s">
        <v>43</v>
      </c>
      <c r="C59" t="s">
        <v>176</v>
      </c>
      <c r="D59" s="1">
        <v>0.49</v>
      </c>
    </row>
    <row r="60" spans="1:6" x14ac:dyDescent="0.2">
      <c r="A60" t="s">
        <v>177</v>
      </c>
      <c r="B60" t="s">
        <v>178</v>
      </c>
      <c r="C60" t="s">
        <v>179</v>
      </c>
      <c r="D60" s="1">
        <v>0.27</v>
      </c>
    </row>
    <row r="61" spans="1:6" x14ac:dyDescent="0.2">
      <c r="A61" t="s">
        <v>170</v>
      </c>
      <c r="B61" t="s">
        <v>180</v>
      </c>
      <c r="C61" t="s">
        <v>181</v>
      </c>
      <c r="D61" s="1">
        <v>0.55000000000000004</v>
      </c>
    </row>
    <row r="62" spans="1:6" x14ac:dyDescent="0.2">
      <c r="A62" t="s">
        <v>182</v>
      </c>
      <c r="B62" t="s">
        <v>183</v>
      </c>
      <c r="C62" t="s">
        <v>184</v>
      </c>
      <c r="D62" s="1">
        <v>0.13</v>
      </c>
      <c r="E62">
        <v>-6</v>
      </c>
      <c r="F62" t="s">
        <v>185</v>
      </c>
    </row>
    <row r="63" spans="1:6" x14ac:dyDescent="0.2">
      <c r="A63" t="s">
        <v>186</v>
      </c>
      <c r="B63" t="s">
        <v>187</v>
      </c>
      <c r="C63" t="s">
        <v>188</v>
      </c>
      <c r="D63" s="1">
        <v>0.54</v>
      </c>
      <c r="E63">
        <v>-10</v>
      </c>
      <c r="F63" t="s">
        <v>189</v>
      </c>
    </row>
    <row r="64" spans="1:6" x14ac:dyDescent="0.2">
      <c r="A64" t="s">
        <v>190</v>
      </c>
      <c r="B64" t="s">
        <v>191</v>
      </c>
      <c r="C64" t="s">
        <v>192</v>
      </c>
      <c r="D64" s="1">
        <v>0.55000000000000004</v>
      </c>
      <c r="E64">
        <v>-13</v>
      </c>
      <c r="F64" t="s">
        <v>193</v>
      </c>
    </row>
    <row r="65" spans="1:6" x14ac:dyDescent="0.2">
      <c r="A65" t="s">
        <v>194</v>
      </c>
      <c r="B65" t="s">
        <v>195</v>
      </c>
      <c r="C65" t="s">
        <v>196</v>
      </c>
      <c r="D65" s="1">
        <v>0.49</v>
      </c>
      <c r="E65">
        <v>-69</v>
      </c>
      <c r="F65" t="s">
        <v>197</v>
      </c>
    </row>
    <row r="66" spans="1:6" x14ac:dyDescent="0.2">
      <c r="A66" t="s">
        <v>198</v>
      </c>
      <c r="B66" t="s">
        <v>199</v>
      </c>
      <c r="C66" t="s">
        <v>200</v>
      </c>
      <c r="D66" s="1">
        <v>0.52</v>
      </c>
      <c r="E66">
        <v>-15</v>
      </c>
      <c r="F66" t="s">
        <v>201</v>
      </c>
    </row>
    <row r="67" spans="1:6" x14ac:dyDescent="0.2">
      <c r="A67" t="s">
        <v>202</v>
      </c>
      <c r="B67" t="s">
        <v>203</v>
      </c>
      <c r="C67" t="s">
        <v>204</v>
      </c>
      <c r="D67" s="1">
        <v>0.22</v>
      </c>
      <c r="E67">
        <v>-16</v>
      </c>
      <c r="F67" t="s">
        <v>205</v>
      </c>
    </row>
    <row r="68" spans="1:6" x14ac:dyDescent="0.2">
      <c r="A68" t="s">
        <v>206</v>
      </c>
      <c r="B68" t="s">
        <v>45</v>
      </c>
      <c r="C68" t="s">
        <v>207</v>
      </c>
      <c r="D68" s="1">
        <v>0.45</v>
      </c>
      <c r="E68">
        <v>-6</v>
      </c>
      <c r="F68" t="s">
        <v>208</v>
      </c>
    </row>
    <row r="69" spans="1:6" x14ac:dyDescent="0.2">
      <c r="A69" t="s">
        <v>209</v>
      </c>
      <c r="B69" t="s">
        <v>210</v>
      </c>
      <c r="C69" t="s">
        <v>144</v>
      </c>
      <c r="D69" s="1">
        <v>0.5</v>
      </c>
      <c r="E69">
        <v>-7</v>
      </c>
      <c r="F69" t="s">
        <v>211</v>
      </c>
    </row>
    <row r="70" spans="1:6" x14ac:dyDescent="0.2">
      <c r="A70" t="s">
        <v>212</v>
      </c>
      <c r="B70" t="s">
        <v>213</v>
      </c>
      <c r="C70" t="s">
        <v>214</v>
      </c>
      <c r="D70" s="1">
        <v>0.39</v>
      </c>
      <c r="E70">
        <v>-5</v>
      </c>
      <c r="F70" t="s">
        <v>189</v>
      </c>
    </row>
    <row r="71" spans="1:6" x14ac:dyDescent="0.2">
      <c r="A71" t="s">
        <v>215</v>
      </c>
      <c r="B71" t="s">
        <v>104</v>
      </c>
      <c r="C71" t="s">
        <v>216</v>
      </c>
      <c r="D71" s="1">
        <v>0.45</v>
      </c>
      <c r="E71">
        <v>-17</v>
      </c>
      <c r="F71" t="s">
        <v>217</v>
      </c>
    </row>
    <row r="72" spans="1:6" x14ac:dyDescent="0.2">
      <c r="A72" t="s">
        <v>218</v>
      </c>
      <c r="B72" t="s">
        <v>219</v>
      </c>
      <c r="C72" t="s">
        <v>220</v>
      </c>
      <c r="D72" s="1">
        <v>0.28999999999999998</v>
      </c>
      <c r="E72">
        <v>-5</v>
      </c>
      <c r="F72" t="s">
        <v>189</v>
      </c>
    </row>
    <row r="73" spans="1:6" x14ac:dyDescent="0.2">
      <c r="A73" t="s">
        <v>221</v>
      </c>
      <c r="B73" t="s">
        <v>222</v>
      </c>
      <c r="C73" t="s">
        <v>223</v>
      </c>
      <c r="D73" s="1">
        <v>0.43</v>
      </c>
      <c r="E73">
        <v>-6</v>
      </c>
      <c r="F73" t="s">
        <v>211</v>
      </c>
    </row>
    <row r="74" spans="1:6" x14ac:dyDescent="0.2">
      <c r="A74" t="s">
        <v>224</v>
      </c>
      <c r="B74" t="s">
        <v>225</v>
      </c>
      <c r="C74" t="s">
        <v>226</v>
      </c>
      <c r="D74" s="1">
        <v>0.43</v>
      </c>
      <c r="E74">
        <v>-5</v>
      </c>
      <c r="F74" t="s">
        <v>189</v>
      </c>
    </row>
    <row r="75" spans="1:6" x14ac:dyDescent="0.2">
      <c r="A75" t="s">
        <v>227</v>
      </c>
      <c r="B75" t="s">
        <v>228</v>
      </c>
      <c r="C75" t="s">
        <v>207</v>
      </c>
      <c r="D75" s="1">
        <v>0.47</v>
      </c>
      <c r="E75">
        <v>-6</v>
      </c>
      <c r="F75" t="s">
        <v>208</v>
      </c>
    </row>
    <row r="76" spans="1:6" x14ac:dyDescent="0.2">
      <c r="A76" t="s">
        <v>229</v>
      </c>
      <c r="B76" t="s">
        <v>230</v>
      </c>
      <c r="C76" t="s">
        <v>231</v>
      </c>
      <c r="D76" s="1">
        <v>0.47</v>
      </c>
      <c r="E76">
        <v>-7</v>
      </c>
      <c r="F76" t="s">
        <v>193</v>
      </c>
    </row>
    <row r="77" spans="1:6" x14ac:dyDescent="0.2">
      <c r="A77" t="s">
        <v>232</v>
      </c>
      <c r="B77" t="s">
        <v>233</v>
      </c>
      <c r="C77" t="s">
        <v>234</v>
      </c>
      <c r="D77" s="1">
        <v>0.47</v>
      </c>
    </row>
    <row r="78" spans="1:6" x14ac:dyDescent="0.2">
      <c r="A78" t="s">
        <v>235</v>
      </c>
      <c r="B78" t="s">
        <v>236</v>
      </c>
      <c r="C78" t="s">
        <v>152</v>
      </c>
      <c r="D78" s="1">
        <v>0.43</v>
      </c>
    </row>
    <row r="79" spans="1:6" x14ac:dyDescent="0.2">
      <c r="A79" t="s">
        <v>237</v>
      </c>
      <c r="B79" t="s">
        <v>238</v>
      </c>
      <c r="C79" t="s">
        <v>239</v>
      </c>
      <c r="D79" s="1">
        <v>0.04</v>
      </c>
    </row>
    <row r="80" spans="1:6" x14ac:dyDescent="0.2">
      <c r="A80" t="s">
        <v>240</v>
      </c>
      <c r="B80" t="s">
        <v>241</v>
      </c>
      <c r="C80" t="s">
        <v>242</v>
      </c>
      <c r="D80" s="1">
        <v>0.49</v>
      </c>
    </row>
    <row r="81" spans="1:6" x14ac:dyDescent="0.2">
      <c r="A81" t="s">
        <v>243</v>
      </c>
      <c r="B81" t="s">
        <v>244</v>
      </c>
      <c r="C81" t="s">
        <v>15</v>
      </c>
      <c r="D81" s="1">
        <v>0.46</v>
      </c>
      <c r="E81">
        <v>-1</v>
      </c>
      <c r="F81" t="s">
        <v>189</v>
      </c>
    </row>
    <row r="82" spans="1:6" x14ac:dyDescent="0.2">
      <c r="A82" t="s">
        <v>245</v>
      </c>
      <c r="B82" t="s">
        <v>246</v>
      </c>
      <c r="C82" t="s">
        <v>247</v>
      </c>
      <c r="D82" s="1">
        <v>0.49</v>
      </c>
      <c r="E82">
        <v>-1</v>
      </c>
      <c r="F82" t="s">
        <v>59</v>
      </c>
    </row>
    <row r="83" spans="1:6" x14ac:dyDescent="0.2">
      <c r="A83" t="s">
        <v>248</v>
      </c>
      <c r="B83" t="s">
        <v>249</v>
      </c>
      <c r="C83" t="s">
        <v>250</v>
      </c>
      <c r="D83" s="1">
        <v>0.36</v>
      </c>
    </row>
    <row r="84" spans="1:6" x14ac:dyDescent="0.2">
      <c r="A84" t="s">
        <v>251</v>
      </c>
      <c r="B84" t="s">
        <v>252</v>
      </c>
      <c r="C84" t="s">
        <v>162</v>
      </c>
      <c r="D84" s="1">
        <v>0.02</v>
      </c>
    </row>
    <row r="85" spans="1:6" x14ac:dyDescent="0.2">
      <c r="A85" t="s">
        <v>253</v>
      </c>
      <c r="B85" t="s">
        <v>254</v>
      </c>
      <c r="C85" t="s">
        <v>91</v>
      </c>
      <c r="D85" s="1">
        <v>0.49</v>
      </c>
      <c r="E85">
        <v>-1</v>
      </c>
      <c r="F85" t="s">
        <v>29</v>
      </c>
    </row>
    <row r="86" spans="1:6" x14ac:dyDescent="0.2">
      <c r="A86" t="s">
        <v>137</v>
      </c>
      <c r="B86" t="s">
        <v>138</v>
      </c>
      <c r="C86" t="s">
        <v>139</v>
      </c>
      <c r="D86" s="1">
        <v>0.42</v>
      </c>
    </row>
    <row r="87" spans="1:6" x14ac:dyDescent="0.2">
      <c r="A87" t="s">
        <v>154</v>
      </c>
      <c r="B87" t="s">
        <v>255</v>
      </c>
      <c r="C87" t="s">
        <v>222</v>
      </c>
      <c r="D87" s="1">
        <v>0.49</v>
      </c>
    </row>
    <row r="88" spans="1:6" x14ac:dyDescent="0.2">
      <c r="A88" t="s">
        <v>256</v>
      </c>
      <c r="B88" t="s">
        <v>257</v>
      </c>
      <c r="C88" t="s">
        <v>162</v>
      </c>
      <c r="D88" s="1">
        <v>0.14000000000000001</v>
      </c>
    </row>
    <row r="89" spans="1:6" x14ac:dyDescent="0.2">
      <c r="A89" t="s">
        <v>258</v>
      </c>
      <c r="B89" t="s">
        <v>259</v>
      </c>
      <c r="C89" t="s">
        <v>260</v>
      </c>
      <c r="D89" s="1">
        <v>0.49</v>
      </c>
    </row>
    <row r="90" spans="1:6" x14ac:dyDescent="0.2">
      <c r="A90" t="s">
        <v>261</v>
      </c>
      <c r="B90" t="s">
        <v>43</v>
      </c>
      <c r="C90" t="s">
        <v>172</v>
      </c>
      <c r="D90" s="1">
        <v>0.11</v>
      </c>
    </row>
    <row r="91" spans="1:6" x14ac:dyDescent="0.2">
      <c r="A91" t="s">
        <v>175</v>
      </c>
      <c r="B91" t="s">
        <v>262</v>
      </c>
      <c r="C91" t="s">
        <v>263</v>
      </c>
      <c r="D91" s="1">
        <v>0.49</v>
      </c>
    </row>
    <row r="92" spans="1:6" x14ac:dyDescent="0.2">
      <c r="A92" t="s">
        <v>264</v>
      </c>
      <c r="B92" t="s">
        <v>265</v>
      </c>
      <c r="C92" t="s">
        <v>162</v>
      </c>
      <c r="D92" s="1">
        <v>0.14000000000000001</v>
      </c>
    </row>
    <row r="93" spans="1:6" x14ac:dyDescent="0.2">
      <c r="A93" t="s">
        <v>266</v>
      </c>
      <c r="B93" t="s">
        <v>267</v>
      </c>
      <c r="C93" t="s">
        <v>268</v>
      </c>
      <c r="D93" s="1">
        <v>0.43</v>
      </c>
    </row>
    <row r="94" spans="1:6" x14ac:dyDescent="0.2">
      <c r="A94" t="s">
        <v>269</v>
      </c>
      <c r="B94" t="s">
        <v>270</v>
      </c>
      <c r="C94" t="s">
        <v>271</v>
      </c>
      <c r="D94" s="1">
        <v>0.5</v>
      </c>
    </row>
    <row r="95" spans="1:6" x14ac:dyDescent="0.2">
      <c r="A95" t="s">
        <v>272</v>
      </c>
      <c r="B95" t="s">
        <v>273</v>
      </c>
      <c r="C95" t="s">
        <v>184</v>
      </c>
      <c r="D95" s="1">
        <v>0.48</v>
      </c>
    </row>
    <row r="96" spans="1:6" x14ac:dyDescent="0.2">
      <c r="A96" t="s">
        <v>274</v>
      </c>
      <c r="B96" t="s">
        <v>275</v>
      </c>
      <c r="C96" t="s">
        <v>276</v>
      </c>
      <c r="D96" s="1">
        <v>0.48</v>
      </c>
    </row>
    <row r="97" spans="1:6" x14ac:dyDescent="0.2">
      <c r="A97" t="s">
        <v>277</v>
      </c>
      <c r="B97" t="s">
        <v>226</v>
      </c>
      <c r="C97" t="s">
        <v>162</v>
      </c>
      <c r="D97" s="1">
        <v>0.47</v>
      </c>
    </row>
    <row r="98" spans="1:6" x14ac:dyDescent="0.2">
      <c r="A98" t="s">
        <v>277</v>
      </c>
      <c r="B98" t="s">
        <v>226</v>
      </c>
      <c r="C98" t="s">
        <v>162</v>
      </c>
      <c r="D98" s="1">
        <v>0.47</v>
      </c>
    </row>
    <row r="99" spans="1:6" x14ac:dyDescent="0.2">
      <c r="A99" t="s">
        <v>278</v>
      </c>
      <c r="B99" t="s">
        <v>152</v>
      </c>
      <c r="C99" t="s">
        <v>279</v>
      </c>
      <c r="D99" s="1">
        <v>0.5</v>
      </c>
    </row>
    <row r="100" spans="1:6" x14ac:dyDescent="0.2">
      <c r="A100" t="s">
        <v>280</v>
      </c>
      <c r="B100" t="s">
        <v>281</v>
      </c>
      <c r="C100" t="s">
        <v>161</v>
      </c>
      <c r="D100" s="1">
        <v>0.08</v>
      </c>
    </row>
    <row r="101" spans="1:6" x14ac:dyDescent="0.2">
      <c r="A101" t="s">
        <v>282</v>
      </c>
      <c r="B101" t="s">
        <v>283</v>
      </c>
      <c r="C101" t="s">
        <v>167</v>
      </c>
      <c r="D101" s="1">
        <v>0.02</v>
      </c>
    </row>
    <row r="102" spans="1:6" x14ac:dyDescent="0.2">
      <c r="A102" t="s">
        <v>284</v>
      </c>
      <c r="B102" t="s">
        <v>285</v>
      </c>
      <c r="C102" t="s">
        <v>286</v>
      </c>
      <c r="D102" s="1">
        <v>0.49</v>
      </c>
    </row>
    <row r="103" spans="1:6" x14ac:dyDescent="0.2">
      <c r="A103" t="s">
        <v>287</v>
      </c>
      <c r="B103" t="s">
        <v>288</v>
      </c>
      <c r="C103" t="s">
        <v>67</v>
      </c>
      <c r="D103" s="1">
        <v>0.04</v>
      </c>
    </row>
    <row r="104" spans="1:6" x14ac:dyDescent="0.2">
      <c r="A104" t="s">
        <v>289</v>
      </c>
      <c r="B104" t="s">
        <v>290</v>
      </c>
      <c r="C104" t="s">
        <v>291</v>
      </c>
      <c r="D104" s="1">
        <v>0.49</v>
      </c>
    </row>
    <row r="105" spans="1:6" x14ac:dyDescent="0.2">
      <c r="A105" t="s">
        <v>292</v>
      </c>
      <c r="B105" t="s">
        <v>293</v>
      </c>
      <c r="C105" t="s">
        <v>294</v>
      </c>
      <c r="D105" s="1">
        <v>0.42</v>
      </c>
    </row>
    <row r="106" spans="1:6" x14ac:dyDescent="0.2">
      <c r="A106" t="s">
        <v>295</v>
      </c>
      <c r="B106" t="s">
        <v>296</v>
      </c>
      <c r="C106" t="s">
        <v>297</v>
      </c>
      <c r="D106" s="1">
        <v>0.21</v>
      </c>
      <c r="E106">
        <v>-1</v>
      </c>
      <c r="F106" t="s">
        <v>59</v>
      </c>
    </row>
    <row r="107" spans="1:6" x14ac:dyDescent="0.2">
      <c r="A107" t="s">
        <v>298</v>
      </c>
      <c r="B107" t="s">
        <v>299</v>
      </c>
      <c r="C107" t="s">
        <v>300</v>
      </c>
      <c r="D107" s="1">
        <v>0.41</v>
      </c>
    </row>
    <row r="108" spans="1:6" x14ac:dyDescent="0.2">
      <c r="A108" t="s">
        <v>301</v>
      </c>
      <c r="B108" t="s">
        <v>302</v>
      </c>
      <c r="C108" t="s">
        <v>303</v>
      </c>
      <c r="D108" s="1">
        <v>0.01</v>
      </c>
    </row>
    <row r="109" spans="1:6" x14ac:dyDescent="0.2">
      <c r="A109" t="s">
        <v>304</v>
      </c>
      <c r="B109" t="s">
        <v>305</v>
      </c>
      <c r="C109" t="s">
        <v>306</v>
      </c>
      <c r="D109" s="1">
        <v>0.24</v>
      </c>
    </row>
    <row r="110" spans="1:6" x14ac:dyDescent="0.2">
      <c r="A110" t="s">
        <v>307</v>
      </c>
      <c r="B110" t="s">
        <v>308</v>
      </c>
      <c r="C110" t="s">
        <v>309</v>
      </c>
      <c r="D110" s="1">
        <v>0.34</v>
      </c>
    </row>
    <row r="111" spans="1:6" x14ac:dyDescent="0.2">
      <c r="A111" t="s">
        <v>310</v>
      </c>
      <c r="B111" t="s">
        <v>146</v>
      </c>
      <c r="C111" t="s">
        <v>311</v>
      </c>
      <c r="D111" s="1">
        <v>0.34</v>
      </c>
    </row>
    <row r="112" spans="1:6" x14ac:dyDescent="0.2">
      <c r="A112" t="s">
        <v>312</v>
      </c>
      <c r="B112" t="s">
        <v>313</v>
      </c>
      <c r="C112" t="s">
        <v>162</v>
      </c>
      <c r="D112" s="1">
        <v>0.02</v>
      </c>
    </row>
    <row r="113" spans="1:6" x14ac:dyDescent="0.2">
      <c r="A113" t="s">
        <v>314</v>
      </c>
      <c r="B113" t="s">
        <v>315</v>
      </c>
      <c r="C113" t="s">
        <v>239</v>
      </c>
      <c r="D113" s="1">
        <v>0.02</v>
      </c>
    </row>
    <row r="114" spans="1:6" x14ac:dyDescent="0.2">
      <c r="A114" t="s">
        <v>316</v>
      </c>
      <c r="B114" t="s">
        <v>155</v>
      </c>
      <c r="C114" t="s">
        <v>317</v>
      </c>
      <c r="D114" s="1">
        <v>0.64</v>
      </c>
    </row>
    <row r="115" spans="1:6" x14ac:dyDescent="0.2">
      <c r="A115" t="s">
        <v>318</v>
      </c>
      <c r="B115" t="s">
        <v>242</v>
      </c>
      <c r="C115" t="s">
        <v>172</v>
      </c>
      <c r="D115" s="1">
        <v>0.5</v>
      </c>
      <c r="E115">
        <v>-1</v>
      </c>
      <c r="F115" t="s">
        <v>319</v>
      </c>
    </row>
    <row r="116" spans="1:6" x14ac:dyDescent="0.2">
      <c r="A116" t="s">
        <v>320</v>
      </c>
      <c r="B116" t="s">
        <v>321</v>
      </c>
      <c r="C116" t="s">
        <v>322</v>
      </c>
      <c r="D116" s="1">
        <v>0.47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Excel_jumia_ - Product Perfoma</vt:lpstr>
      <vt:lpstr>Excel_jumia_dataset - Martin</vt:lpstr>
      <vt:lpstr>Excel_jumia_dataset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MWENDA MICHENI</dc:creator>
  <cp:lastModifiedBy>Microsoft Office User</cp:lastModifiedBy>
  <dcterms:created xsi:type="dcterms:W3CDTF">2026-06-10T12:25:46Z</dcterms:created>
  <dcterms:modified xsi:type="dcterms:W3CDTF">2026-06-13T06:24:30Z</dcterms:modified>
</cp:coreProperties>
</file>